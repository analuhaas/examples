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\Documents\PhD\Cartes_OnwTech\MMC_OwnTech_Foundation\MMC_codes\Educational prototype\module_calibration\"/>
    </mc:Choice>
  </mc:AlternateContent>
  <xr:revisionPtr revIDLastSave="0" documentId="13_ncr:1_{1D10D786-1C54-442C-AA2A-84AC04E5D96C}" xr6:coauthVersionLast="47" xr6:coauthVersionMax="47" xr10:uidLastSave="{00000000-0000-0000-0000-000000000000}"/>
  <bookViews>
    <workbookView xWindow="-108" yWindow="-108" windowWidth="23256" windowHeight="12456" tabRatio="667" firstSheet="8" activeTab="13" xr2:uid="{3B3474C8-D33D-4CFB-B4B0-475D8DDC15D0}"/>
  </bookViews>
  <sheets>
    <sheet name="Tables" sheetId="1" r:id="rId1"/>
    <sheet name="Mesures Low1" sheetId="3" r:id="rId2"/>
    <sheet name="Mesures Low2" sheetId="15" r:id="rId3"/>
    <sheet name="Curves Board 1" sheetId="2" r:id="rId4"/>
    <sheet name="Curves Board 2" sheetId="5" r:id="rId5"/>
    <sheet name="Curves Board 3" sheetId="6" r:id="rId6"/>
    <sheet name="Curves Board 4" sheetId="7" r:id="rId7"/>
    <sheet name="Curves Board 5" sheetId="8" r:id="rId8"/>
    <sheet name="Curves Board 6" sheetId="9" r:id="rId9"/>
    <sheet name="Curves Board 7" sheetId="10" r:id="rId10"/>
    <sheet name="Curves Board 8" sheetId="11" r:id="rId11"/>
    <sheet name="Curves Board 9" sheetId="12" r:id="rId12"/>
    <sheet name="Curves Board 10" sheetId="13" r:id="rId13"/>
    <sheet name="Curves Board 11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9" l="1"/>
  <c r="I3" i="9"/>
  <c r="J2" i="9"/>
  <c r="J3" i="9"/>
  <c r="B42" i="14"/>
  <c r="B41" i="14"/>
  <c r="B38" i="14"/>
  <c r="B37" i="14"/>
  <c r="B36" i="14"/>
  <c r="B35" i="14"/>
  <c r="B34" i="14"/>
  <c r="B33" i="14"/>
  <c r="B42" i="13"/>
  <c r="B41" i="13"/>
  <c r="B38" i="13"/>
  <c r="B37" i="13"/>
  <c r="B36" i="13"/>
  <c r="B35" i="13"/>
  <c r="B34" i="13"/>
  <c r="B33" i="13"/>
  <c r="B42" i="12"/>
  <c r="B41" i="12"/>
  <c r="B38" i="12"/>
  <c r="B37" i="12"/>
  <c r="B36" i="12"/>
  <c r="B35" i="12"/>
  <c r="B34" i="12"/>
  <c r="B33" i="12"/>
  <c r="B42" i="11"/>
  <c r="B41" i="11"/>
  <c r="B38" i="11"/>
  <c r="B37" i="11"/>
  <c r="B36" i="11"/>
  <c r="B35" i="11"/>
  <c r="B34" i="11"/>
  <c r="B33" i="11"/>
  <c r="B42" i="10"/>
  <c r="B41" i="10"/>
  <c r="B38" i="10"/>
  <c r="B37" i="10"/>
  <c r="B36" i="10"/>
  <c r="B35" i="10"/>
  <c r="B34" i="10"/>
  <c r="B33" i="10"/>
  <c r="B42" i="9"/>
  <c r="B41" i="9"/>
  <c r="B38" i="9"/>
  <c r="B37" i="9"/>
  <c r="B36" i="9"/>
  <c r="B35" i="9"/>
  <c r="B34" i="9"/>
  <c r="B33" i="9"/>
  <c r="B42" i="8"/>
  <c r="B41" i="8"/>
  <c r="B38" i="8"/>
  <c r="B37" i="8"/>
  <c r="B36" i="8"/>
  <c r="B35" i="8"/>
  <c r="B34" i="8"/>
  <c r="B33" i="8"/>
  <c r="B42" i="7"/>
  <c r="B41" i="7"/>
  <c r="B38" i="7"/>
  <c r="B37" i="7"/>
  <c r="B36" i="7"/>
  <c r="B35" i="7"/>
  <c r="B34" i="7"/>
  <c r="B33" i="7"/>
  <c r="B42" i="6"/>
  <c r="B41" i="6"/>
  <c r="B38" i="6"/>
  <c r="B37" i="6"/>
  <c r="B36" i="6"/>
  <c r="B35" i="6"/>
  <c r="B34" i="6"/>
  <c r="B33" i="6"/>
  <c r="B42" i="5"/>
  <c r="B41" i="5"/>
  <c r="B38" i="5"/>
  <c r="B37" i="5"/>
  <c r="B36" i="5"/>
  <c r="B35" i="5"/>
  <c r="B34" i="5"/>
  <c r="B33" i="5"/>
  <c r="B42" i="2"/>
  <c r="B41" i="2"/>
  <c r="B38" i="2"/>
  <c r="B37" i="2"/>
  <c r="B36" i="2"/>
  <c r="B35" i="2"/>
  <c r="B34" i="2"/>
  <c r="B33" i="2"/>
  <c r="I16" i="14"/>
  <c r="I15" i="14"/>
  <c r="I14" i="14"/>
  <c r="I13" i="14"/>
  <c r="J10" i="14"/>
  <c r="J9" i="14"/>
  <c r="J8" i="14"/>
  <c r="J7" i="14"/>
  <c r="I10" i="14"/>
  <c r="I9" i="14"/>
  <c r="I8" i="14"/>
  <c r="I7" i="14"/>
  <c r="T5" i="14"/>
  <c r="T4" i="14"/>
  <c r="T3" i="14"/>
  <c r="T2" i="14"/>
  <c r="R5" i="14"/>
  <c r="R10" i="14" s="1"/>
  <c r="R4" i="14"/>
  <c r="R3" i="14"/>
  <c r="R2" i="14"/>
  <c r="I5" i="14"/>
  <c r="I4" i="14"/>
  <c r="I3" i="14"/>
  <c r="I2" i="14"/>
  <c r="I16" i="13"/>
  <c r="I15" i="13"/>
  <c r="I14" i="13"/>
  <c r="I13" i="13"/>
  <c r="J10" i="13"/>
  <c r="J9" i="13"/>
  <c r="J8" i="13"/>
  <c r="J7" i="13"/>
  <c r="I10" i="13"/>
  <c r="I9" i="13"/>
  <c r="I8" i="13"/>
  <c r="I7" i="13"/>
  <c r="T5" i="13"/>
  <c r="T10" i="13" s="1"/>
  <c r="T4" i="13"/>
  <c r="T3" i="13"/>
  <c r="T2" i="13"/>
  <c r="R5" i="13"/>
  <c r="R4" i="13"/>
  <c r="R3" i="13"/>
  <c r="R2" i="13"/>
  <c r="R7" i="13" s="1"/>
  <c r="I5" i="13"/>
  <c r="I4" i="13"/>
  <c r="I3" i="13"/>
  <c r="I2" i="13"/>
  <c r="I16" i="12"/>
  <c r="I15" i="12"/>
  <c r="I14" i="12"/>
  <c r="I13" i="12"/>
  <c r="J10" i="12"/>
  <c r="J9" i="12"/>
  <c r="J8" i="12"/>
  <c r="J7" i="12"/>
  <c r="I10" i="12"/>
  <c r="I9" i="12"/>
  <c r="I8" i="12"/>
  <c r="I7" i="12"/>
  <c r="T5" i="12"/>
  <c r="T4" i="12"/>
  <c r="T3" i="12"/>
  <c r="T2" i="12"/>
  <c r="R5" i="12"/>
  <c r="R4" i="12"/>
  <c r="R9" i="12" s="1"/>
  <c r="R3" i="12"/>
  <c r="R2" i="12"/>
  <c r="R7" i="12" s="1"/>
  <c r="I5" i="12"/>
  <c r="J5" i="12" s="1"/>
  <c r="I4" i="12"/>
  <c r="I3" i="12"/>
  <c r="I2" i="12"/>
  <c r="I16" i="11"/>
  <c r="I15" i="11"/>
  <c r="I14" i="11"/>
  <c r="I13" i="11"/>
  <c r="J10" i="11"/>
  <c r="J9" i="11"/>
  <c r="J8" i="11"/>
  <c r="J7" i="11"/>
  <c r="I10" i="11"/>
  <c r="I9" i="11"/>
  <c r="I8" i="11"/>
  <c r="I7" i="11"/>
  <c r="T5" i="11"/>
  <c r="T4" i="11"/>
  <c r="T3" i="11"/>
  <c r="T2" i="11"/>
  <c r="R5" i="11"/>
  <c r="R10" i="11" s="1"/>
  <c r="R4" i="11"/>
  <c r="R3" i="11"/>
  <c r="R8" i="11" s="1"/>
  <c r="R2" i="11"/>
  <c r="I5" i="11"/>
  <c r="J5" i="11" s="1"/>
  <c r="I4" i="11"/>
  <c r="I3" i="11"/>
  <c r="I2" i="11"/>
  <c r="J2" i="11" s="1"/>
  <c r="I16" i="10"/>
  <c r="I15" i="10"/>
  <c r="I14" i="10"/>
  <c r="I13" i="10"/>
  <c r="J10" i="10"/>
  <c r="J9" i="10"/>
  <c r="J8" i="10"/>
  <c r="J7" i="10"/>
  <c r="I10" i="10"/>
  <c r="I9" i="10"/>
  <c r="I8" i="10"/>
  <c r="I7" i="10"/>
  <c r="T5" i="10"/>
  <c r="T10" i="10" s="1"/>
  <c r="T4" i="10"/>
  <c r="T3" i="10"/>
  <c r="T2" i="10"/>
  <c r="R5" i="10"/>
  <c r="R4" i="10"/>
  <c r="R9" i="10" s="1"/>
  <c r="R3" i="10"/>
  <c r="R8" i="10" s="1"/>
  <c r="R2" i="10"/>
  <c r="I5" i="10"/>
  <c r="I4" i="10"/>
  <c r="J4" i="10" s="1"/>
  <c r="I3" i="10"/>
  <c r="J3" i="10" s="1"/>
  <c r="I2" i="10"/>
  <c r="I16" i="9"/>
  <c r="I15" i="9"/>
  <c r="I14" i="9"/>
  <c r="I13" i="9"/>
  <c r="J10" i="9"/>
  <c r="J9" i="9"/>
  <c r="J8" i="9"/>
  <c r="J7" i="9"/>
  <c r="I10" i="9"/>
  <c r="I9" i="9"/>
  <c r="I8" i="9"/>
  <c r="I7" i="9"/>
  <c r="T5" i="9"/>
  <c r="T4" i="9"/>
  <c r="T3" i="9"/>
  <c r="T2" i="9"/>
  <c r="R5" i="9"/>
  <c r="R4" i="9"/>
  <c r="R3" i="9"/>
  <c r="R2" i="9"/>
  <c r="I5" i="9"/>
  <c r="I4" i="9"/>
  <c r="I16" i="8"/>
  <c r="I15" i="8"/>
  <c r="I14" i="8"/>
  <c r="I13" i="8"/>
  <c r="J10" i="8"/>
  <c r="J9" i="8"/>
  <c r="J8" i="8"/>
  <c r="J7" i="8"/>
  <c r="I10" i="8"/>
  <c r="I9" i="8"/>
  <c r="I8" i="8"/>
  <c r="I7" i="8"/>
  <c r="T5" i="8"/>
  <c r="T4" i="8"/>
  <c r="T3" i="8"/>
  <c r="T8" i="8" s="1"/>
  <c r="T2" i="8"/>
  <c r="R5" i="8"/>
  <c r="R10" i="8" s="1"/>
  <c r="R4" i="8"/>
  <c r="R3" i="8"/>
  <c r="R8" i="8" s="1"/>
  <c r="R2" i="8"/>
  <c r="I5" i="8"/>
  <c r="J5" i="8" s="1"/>
  <c r="I4" i="8"/>
  <c r="I3" i="8"/>
  <c r="J3" i="8" s="1"/>
  <c r="I2" i="8"/>
  <c r="I16" i="7"/>
  <c r="I15" i="7"/>
  <c r="I14" i="7"/>
  <c r="I13" i="7"/>
  <c r="J10" i="7"/>
  <c r="J9" i="7"/>
  <c r="J8" i="7"/>
  <c r="J7" i="7"/>
  <c r="I10" i="7"/>
  <c r="I9" i="7"/>
  <c r="I8" i="7"/>
  <c r="I7" i="7"/>
  <c r="T5" i="7"/>
  <c r="T4" i="7"/>
  <c r="T3" i="7"/>
  <c r="T2" i="7"/>
  <c r="R5" i="7"/>
  <c r="R4" i="7"/>
  <c r="R3" i="7"/>
  <c r="R2" i="7"/>
  <c r="I5" i="7"/>
  <c r="I4" i="7"/>
  <c r="I3" i="7"/>
  <c r="I2" i="7"/>
  <c r="I16" i="6"/>
  <c r="I15" i="6"/>
  <c r="I14" i="6"/>
  <c r="I13" i="6"/>
  <c r="J10" i="6"/>
  <c r="J9" i="6"/>
  <c r="J8" i="6"/>
  <c r="J7" i="6"/>
  <c r="I10" i="6"/>
  <c r="I9" i="6"/>
  <c r="I8" i="6"/>
  <c r="I7" i="6"/>
  <c r="T5" i="6"/>
  <c r="T10" i="6" s="1"/>
  <c r="T4" i="6"/>
  <c r="T3" i="6"/>
  <c r="T2" i="6"/>
  <c r="R5" i="6"/>
  <c r="R4" i="6"/>
  <c r="R9" i="6" s="1"/>
  <c r="R3" i="6"/>
  <c r="R8" i="6" s="1"/>
  <c r="R2" i="6"/>
  <c r="I5" i="6"/>
  <c r="I4" i="6"/>
  <c r="I3" i="6"/>
  <c r="I2" i="6"/>
  <c r="I16" i="5"/>
  <c r="I15" i="5"/>
  <c r="I14" i="5"/>
  <c r="I13" i="5"/>
  <c r="J10" i="5"/>
  <c r="J9" i="5"/>
  <c r="J8" i="5"/>
  <c r="J7" i="5"/>
  <c r="I10" i="5"/>
  <c r="I9" i="5"/>
  <c r="I8" i="5"/>
  <c r="I7" i="5"/>
  <c r="T5" i="5"/>
  <c r="T4" i="5"/>
  <c r="T3" i="5"/>
  <c r="T2" i="5"/>
  <c r="R5" i="5"/>
  <c r="R4" i="5"/>
  <c r="R3" i="5"/>
  <c r="R2" i="5"/>
  <c r="I5" i="5"/>
  <c r="I4" i="5"/>
  <c r="I3" i="5"/>
  <c r="I2" i="5"/>
  <c r="I16" i="2"/>
  <c r="I15" i="2"/>
  <c r="I14" i="2"/>
  <c r="I13" i="2"/>
  <c r="J10" i="2"/>
  <c r="J9" i="2"/>
  <c r="J8" i="2"/>
  <c r="J7" i="2"/>
  <c r="I10" i="2"/>
  <c r="I9" i="2"/>
  <c r="I8" i="2"/>
  <c r="I7" i="2"/>
  <c r="T5" i="2"/>
  <c r="T4" i="2"/>
  <c r="T3" i="2"/>
  <c r="T2" i="2"/>
  <c r="R5" i="2"/>
  <c r="R4" i="2"/>
  <c r="R3" i="2"/>
  <c r="R2" i="2"/>
  <c r="I5" i="2"/>
  <c r="I4" i="2"/>
  <c r="I3" i="2"/>
  <c r="I2" i="2"/>
  <c r="Q89" i="1"/>
  <c r="O89" i="1"/>
  <c r="M89" i="1"/>
  <c r="K89" i="1"/>
  <c r="I89" i="1"/>
  <c r="G89" i="1"/>
  <c r="E89" i="1"/>
  <c r="C89" i="1"/>
  <c r="Q88" i="1"/>
  <c r="O88" i="1"/>
  <c r="M88" i="1"/>
  <c r="K88" i="1"/>
  <c r="I88" i="1"/>
  <c r="G88" i="1"/>
  <c r="E88" i="1"/>
  <c r="C88" i="1"/>
  <c r="Q87" i="1"/>
  <c r="O87" i="1"/>
  <c r="M87" i="1"/>
  <c r="K87" i="1"/>
  <c r="I87" i="1"/>
  <c r="G87" i="1"/>
  <c r="E87" i="1"/>
  <c r="C87" i="1"/>
  <c r="Q86" i="1"/>
  <c r="O86" i="1"/>
  <c r="M86" i="1"/>
  <c r="K86" i="1"/>
  <c r="I86" i="1"/>
  <c r="G86" i="1"/>
  <c r="E86" i="1"/>
  <c r="C86" i="1"/>
  <c r="Q85" i="1"/>
  <c r="O85" i="1"/>
  <c r="M85" i="1"/>
  <c r="K85" i="1"/>
  <c r="I85" i="1"/>
  <c r="G85" i="1"/>
  <c r="E85" i="1"/>
  <c r="C85" i="1"/>
  <c r="Q81" i="1"/>
  <c r="O81" i="1"/>
  <c r="M81" i="1"/>
  <c r="K81" i="1"/>
  <c r="I81" i="1"/>
  <c r="G81" i="1"/>
  <c r="E81" i="1"/>
  <c r="C81" i="1"/>
  <c r="Q80" i="1"/>
  <c r="O80" i="1"/>
  <c r="M80" i="1"/>
  <c r="K80" i="1"/>
  <c r="I80" i="1"/>
  <c r="G80" i="1"/>
  <c r="E80" i="1"/>
  <c r="C80" i="1"/>
  <c r="Q79" i="1"/>
  <c r="O79" i="1"/>
  <c r="M79" i="1"/>
  <c r="K79" i="1"/>
  <c r="I79" i="1"/>
  <c r="G79" i="1"/>
  <c r="E79" i="1"/>
  <c r="C79" i="1"/>
  <c r="Q78" i="1"/>
  <c r="O78" i="1"/>
  <c r="M78" i="1"/>
  <c r="K78" i="1"/>
  <c r="I78" i="1"/>
  <c r="G78" i="1"/>
  <c r="E78" i="1"/>
  <c r="C78" i="1"/>
  <c r="Q77" i="1"/>
  <c r="O77" i="1"/>
  <c r="M77" i="1"/>
  <c r="K77" i="1"/>
  <c r="I77" i="1"/>
  <c r="G77" i="1"/>
  <c r="E77" i="1"/>
  <c r="C77" i="1"/>
  <c r="Q73" i="1"/>
  <c r="O73" i="1"/>
  <c r="M73" i="1"/>
  <c r="K73" i="1"/>
  <c r="I73" i="1"/>
  <c r="G73" i="1"/>
  <c r="E73" i="1"/>
  <c r="C73" i="1"/>
  <c r="Q72" i="1"/>
  <c r="O72" i="1"/>
  <c r="M72" i="1"/>
  <c r="K72" i="1"/>
  <c r="I72" i="1"/>
  <c r="G72" i="1"/>
  <c r="E72" i="1"/>
  <c r="C72" i="1"/>
  <c r="Q71" i="1"/>
  <c r="O71" i="1"/>
  <c r="M71" i="1"/>
  <c r="K71" i="1"/>
  <c r="I71" i="1"/>
  <c r="G71" i="1"/>
  <c r="E71" i="1"/>
  <c r="C71" i="1"/>
  <c r="Q70" i="1"/>
  <c r="O70" i="1"/>
  <c r="M70" i="1"/>
  <c r="K70" i="1"/>
  <c r="I70" i="1"/>
  <c r="G70" i="1"/>
  <c r="E70" i="1"/>
  <c r="C70" i="1"/>
  <c r="Q69" i="1"/>
  <c r="O69" i="1"/>
  <c r="M69" i="1"/>
  <c r="K69" i="1"/>
  <c r="I69" i="1"/>
  <c r="G69" i="1"/>
  <c r="E69" i="1"/>
  <c r="C69" i="1"/>
  <c r="Q65" i="1"/>
  <c r="O65" i="1"/>
  <c r="M65" i="1"/>
  <c r="K65" i="1"/>
  <c r="I65" i="1"/>
  <c r="G65" i="1"/>
  <c r="E65" i="1"/>
  <c r="C65" i="1"/>
  <c r="Q64" i="1"/>
  <c r="O64" i="1"/>
  <c r="M64" i="1"/>
  <c r="K64" i="1"/>
  <c r="I64" i="1"/>
  <c r="G64" i="1"/>
  <c r="E64" i="1"/>
  <c r="C64" i="1"/>
  <c r="Q63" i="1"/>
  <c r="O63" i="1"/>
  <c r="M63" i="1"/>
  <c r="K63" i="1"/>
  <c r="I63" i="1"/>
  <c r="G63" i="1"/>
  <c r="E63" i="1"/>
  <c r="C63" i="1"/>
  <c r="Q62" i="1"/>
  <c r="O62" i="1"/>
  <c r="M62" i="1"/>
  <c r="K62" i="1"/>
  <c r="I62" i="1"/>
  <c r="G62" i="1"/>
  <c r="E62" i="1"/>
  <c r="C62" i="1"/>
  <c r="Q61" i="1"/>
  <c r="O61" i="1"/>
  <c r="M61" i="1"/>
  <c r="K61" i="1"/>
  <c r="I61" i="1"/>
  <c r="G61" i="1"/>
  <c r="E61" i="1"/>
  <c r="C61" i="1"/>
  <c r="Q57" i="1"/>
  <c r="O57" i="1"/>
  <c r="M57" i="1"/>
  <c r="K57" i="1"/>
  <c r="I57" i="1"/>
  <c r="G57" i="1"/>
  <c r="E57" i="1"/>
  <c r="C57" i="1"/>
  <c r="Q56" i="1"/>
  <c r="O56" i="1"/>
  <c r="M56" i="1"/>
  <c r="K56" i="1"/>
  <c r="I56" i="1"/>
  <c r="G56" i="1"/>
  <c r="E56" i="1"/>
  <c r="C56" i="1"/>
  <c r="Q55" i="1"/>
  <c r="O55" i="1"/>
  <c r="M55" i="1"/>
  <c r="K55" i="1"/>
  <c r="I55" i="1"/>
  <c r="G55" i="1"/>
  <c r="E55" i="1"/>
  <c r="C55" i="1"/>
  <c r="Q54" i="1"/>
  <c r="O54" i="1"/>
  <c r="M54" i="1"/>
  <c r="K54" i="1"/>
  <c r="I54" i="1"/>
  <c r="G54" i="1"/>
  <c r="E54" i="1"/>
  <c r="C54" i="1"/>
  <c r="Q53" i="1"/>
  <c r="O53" i="1"/>
  <c r="M53" i="1"/>
  <c r="K53" i="1"/>
  <c r="I53" i="1"/>
  <c r="G53" i="1"/>
  <c r="E53" i="1"/>
  <c r="C53" i="1"/>
  <c r="Q49" i="1"/>
  <c r="O49" i="1"/>
  <c r="M49" i="1"/>
  <c r="K49" i="1"/>
  <c r="I49" i="1"/>
  <c r="G49" i="1"/>
  <c r="E49" i="1"/>
  <c r="C49" i="1"/>
  <c r="Q48" i="1"/>
  <c r="O48" i="1"/>
  <c r="M48" i="1"/>
  <c r="K48" i="1"/>
  <c r="I48" i="1"/>
  <c r="G48" i="1"/>
  <c r="E48" i="1"/>
  <c r="C48" i="1"/>
  <c r="Q47" i="1"/>
  <c r="O47" i="1"/>
  <c r="M47" i="1"/>
  <c r="K47" i="1"/>
  <c r="I47" i="1"/>
  <c r="G47" i="1"/>
  <c r="E47" i="1"/>
  <c r="C47" i="1"/>
  <c r="Q46" i="1"/>
  <c r="O46" i="1"/>
  <c r="M46" i="1"/>
  <c r="K46" i="1"/>
  <c r="I46" i="1"/>
  <c r="G46" i="1"/>
  <c r="E46" i="1"/>
  <c r="C46" i="1"/>
  <c r="Q45" i="1"/>
  <c r="O45" i="1"/>
  <c r="M45" i="1"/>
  <c r="K45" i="1"/>
  <c r="I45" i="1"/>
  <c r="G45" i="1"/>
  <c r="E45" i="1"/>
  <c r="C45" i="1"/>
  <c r="Q41" i="1"/>
  <c r="O41" i="1"/>
  <c r="M41" i="1"/>
  <c r="K41" i="1"/>
  <c r="I41" i="1"/>
  <c r="G41" i="1"/>
  <c r="E41" i="1"/>
  <c r="C41" i="1"/>
  <c r="Q40" i="1"/>
  <c r="O40" i="1"/>
  <c r="M40" i="1"/>
  <c r="K40" i="1"/>
  <c r="I40" i="1"/>
  <c r="G40" i="1"/>
  <c r="E40" i="1"/>
  <c r="C40" i="1"/>
  <c r="Q39" i="1"/>
  <c r="O39" i="1"/>
  <c r="M39" i="1"/>
  <c r="K39" i="1"/>
  <c r="I39" i="1"/>
  <c r="G39" i="1"/>
  <c r="E39" i="1"/>
  <c r="C39" i="1"/>
  <c r="Q38" i="1"/>
  <c r="O38" i="1"/>
  <c r="M38" i="1"/>
  <c r="K38" i="1"/>
  <c r="I38" i="1"/>
  <c r="G38" i="1"/>
  <c r="E38" i="1"/>
  <c r="C38" i="1"/>
  <c r="Q37" i="1"/>
  <c r="O37" i="1"/>
  <c r="M37" i="1"/>
  <c r="K37" i="1"/>
  <c r="I37" i="1"/>
  <c r="G37" i="1"/>
  <c r="E37" i="1"/>
  <c r="C37" i="1"/>
  <c r="Q33" i="1"/>
  <c r="O33" i="1"/>
  <c r="M33" i="1"/>
  <c r="K33" i="1"/>
  <c r="I33" i="1"/>
  <c r="G33" i="1"/>
  <c r="E33" i="1"/>
  <c r="C33" i="1"/>
  <c r="Q32" i="1"/>
  <c r="O32" i="1"/>
  <c r="M32" i="1"/>
  <c r="K32" i="1"/>
  <c r="I32" i="1"/>
  <c r="G32" i="1"/>
  <c r="E32" i="1"/>
  <c r="C32" i="1"/>
  <c r="Q31" i="1"/>
  <c r="O31" i="1"/>
  <c r="M31" i="1"/>
  <c r="K31" i="1"/>
  <c r="I31" i="1"/>
  <c r="G31" i="1"/>
  <c r="E31" i="1"/>
  <c r="C31" i="1"/>
  <c r="Q30" i="1"/>
  <c r="O30" i="1"/>
  <c r="M30" i="1"/>
  <c r="K30" i="1"/>
  <c r="I30" i="1"/>
  <c r="G30" i="1"/>
  <c r="E30" i="1"/>
  <c r="C30" i="1"/>
  <c r="Q29" i="1"/>
  <c r="O29" i="1"/>
  <c r="M29" i="1"/>
  <c r="K29" i="1"/>
  <c r="I29" i="1"/>
  <c r="G29" i="1"/>
  <c r="E29" i="1"/>
  <c r="C29" i="1"/>
  <c r="Q25" i="1"/>
  <c r="O25" i="1"/>
  <c r="M25" i="1"/>
  <c r="K25" i="1"/>
  <c r="I25" i="1"/>
  <c r="G25" i="1"/>
  <c r="E25" i="1"/>
  <c r="C25" i="1"/>
  <c r="Q24" i="1"/>
  <c r="O24" i="1"/>
  <c r="M24" i="1"/>
  <c r="K24" i="1"/>
  <c r="I24" i="1"/>
  <c r="G24" i="1"/>
  <c r="E24" i="1"/>
  <c r="C24" i="1"/>
  <c r="Q23" i="1"/>
  <c r="O23" i="1"/>
  <c r="M23" i="1"/>
  <c r="K23" i="1"/>
  <c r="I23" i="1"/>
  <c r="G23" i="1"/>
  <c r="E23" i="1"/>
  <c r="C23" i="1"/>
  <c r="Q22" i="1"/>
  <c r="O22" i="1"/>
  <c r="M22" i="1"/>
  <c r="K22" i="1"/>
  <c r="I22" i="1"/>
  <c r="G22" i="1"/>
  <c r="E22" i="1"/>
  <c r="C22" i="1"/>
  <c r="Q21" i="1"/>
  <c r="O21" i="1"/>
  <c r="M21" i="1"/>
  <c r="K21" i="1"/>
  <c r="I21" i="1"/>
  <c r="G21" i="1"/>
  <c r="E21" i="1"/>
  <c r="C21" i="1"/>
  <c r="J3" i="6" s="1"/>
  <c r="Q17" i="1"/>
  <c r="O17" i="1"/>
  <c r="M17" i="1"/>
  <c r="K17" i="1"/>
  <c r="I17" i="1"/>
  <c r="G17" i="1"/>
  <c r="E17" i="1"/>
  <c r="C17" i="1"/>
  <c r="Q16" i="1"/>
  <c r="O16" i="1"/>
  <c r="M16" i="1"/>
  <c r="K16" i="1"/>
  <c r="I16" i="1"/>
  <c r="G16" i="1"/>
  <c r="E16" i="1"/>
  <c r="C16" i="1"/>
  <c r="Q15" i="1"/>
  <c r="O15" i="1"/>
  <c r="M15" i="1"/>
  <c r="K15" i="1"/>
  <c r="I15" i="1"/>
  <c r="G15" i="1"/>
  <c r="E15" i="1"/>
  <c r="C15" i="1"/>
  <c r="Q14" i="1"/>
  <c r="O14" i="1"/>
  <c r="M14" i="1"/>
  <c r="K14" i="1"/>
  <c r="I14" i="1"/>
  <c r="G14" i="1"/>
  <c r="E14" i="1"/>
  <c r="C14" i="1"/>
  <c r="Q13" i="1"/>
  <c r="O13" i="1"/>
  <c r="M13" i="1"/>
  <c r="K13" i="1"/>
  <c r="I13" i="1"/>
  <c r="G13" i="1"/>
  <c r="E13" i="1"/>
  <c r="C13" i="1"/>
  <c r="Q9" i="1"/>
  <c r="O9" i="1"/>
  <c r="M9" i="1"/>
  <c r="K9" i="1"/>
  <c r="I9" i="1"/>
  <c r="G9" i="1"/>
  <c r="E9" i="1"/>
  <c r="C9" i="1"/>
  <c r="Q8" i="1"/>
  <c r="O8" i="1"/>
  <c r="M8" i="1"/>
  <c r="K8" i="1"/>
  <c r="I8" i="1"/>
  <c r="G8" i="1"/>
  <c r="E8" i="1"/>
  <c r="C8" i="1"/>
  <c r="Q7" i="1"/>
  <c r="O7" i="1"/>
  <c r="M7" i="1"/>
  <c r="K7" i="1"/>
  <c r="I7" i="1"/>
  <c r="G7" i="1"/>
  <c r="E7" i="1"/>
  <c r="C7" i="1"/>
  <c r="Q6" i="1"/>
  <c r="O6" i="1"/>
  <c r="M6" i="1"/>
  <c r="K6" i="1"/>
  <c r="I6" i="1"/>
  <c r="G6" i="1"/>
  <c r="E6" i="1"/>
  <c r="C6" i="1"/>
  <c r="Q5" i="1"/>
  <c r="O5" i="1"/>
  <c r="M5" i="1"/>
  <c r="K5" i="1"/>
  <c r="I5" i="1"/>
  <c r="G5" i="1"/>
  <c r="E5" i="1"/>
  <c r="C5" i="1"/>
  <c r="R8" i="14"/>
  <c r="J5" i="14"/>
  <c r="T9" i="11"/>
  <c r="T7" i="12"/>
  <c r="T8" i="14"/>
  <c r="R9" i="13"/>
  <c r="J3" i="14"/>
  <c r="J3" i="13"/>
  <c r="J2" i="12"/>
  <c r="T7" i="6"/>
  <c r="J3" i="2"/>
  <c r="T9" i="8"/>
  <c r="J4" i="6"/>
  <c r="J5" i="5"/>
  <c r="J5" i="13" l="1"/>
  <c r="R9" i="9"/>
  <c r="T10" i="7"/>
  <c r="T8" i="7"/>
  <c r="J5" i="9"/>
  <c r="T9" i="7"/>
  <c r="J4" i="9"/>
  <c r="T9" i="6"/>
  <c r="R9" i="8"/>
  <c r="T9" i="10"/>
  <c r="R7" i="11"/>
  <c r="R9" i="11"/>
  <c r="J3" i="11"/>
  <c r="T8" i="12"/>
  <c r="T9" i="14"/>
  <c r="R7" i="14"/>
  <c r="T10" i="14"/>
  <c r="J2" i="13"/>
  <c r="R9" i="14"/>
  <c r="T10" i="9"/>
  <c r="T9" i="12"/>
  <c r="R8" i="7"/>
  <c r="R9" i="7"/>
  <c r="J2" i="6"/>
  <c r="T7" i="14"/>
  <c r="J5" i="6"/>
  <c r="J3" i="12"/>
  <c r="T7" i="8"/>
  <c r="J2" i="8"/>
  <c r="J5" i="10"/>
  <c r="R10" i="10"/>
  <c r="T9" i="9"/>
  <c r="J4" i="14"/>
  <c r="J4" i="8"/>
  <c r="T10" i="8"/>
  <c r="R8" i="13"/>
  <c r="J2" i="10"/>
  <c r="T8" i="13"/>
  <c r="R10" i="7"/>
  <c r="R7" i="10"/>
  <c r="R7" i="6"/>
  <c r="T7" i="7"/>
  <c r="T8" i="6"/>
  <c r="T8" i="10"/>
  <c r="R10" i="13"/>
  <c r="R8" i="12"/>
  <c r="R10" i="12"/>
  <c r="T7" i="13"/>
  <c r="T7" i="10"/>
  <c r="R7" i="7"/>
  <c r="T9" i="13"/>
  <c r="T10" i="11"/>
  <c r="T10" i="12"/>
  <c r="T7" i="11"/>
  <c r="T8" i="11"/>
  <c r="J4" i="11"/>
  <c r="R10" i="6"/>
  <c r="R7" i="9"/>
  <c r="J4" i="13"/>
  <c r="R7" i="8"/>
  <c r="J4" i="12"/>
  <c r="J2" i="14"/>
  <c r="R10" i="9"/>
  <c r="R8" i="9"/>
  <c r="T7" i="9"/>
  <c r="T8" i="9"/>
  <c r="J5" i="7"/>
  <c r="J2" i="7"/>
  <c r="J3" i="7"/>
  <c r="J4" i="7"/>
  <c r="T10" i="5"/>
  <c r="T9" i="5"/>
  <c r="T8" i="5"/>
  <c r="R8" i="5"/>
  <c r="T7" i="5"/>
  <c r="R7" i="5"/>
  <c r="R10" i="5"/>
  <c r="R9" i="5"/>
  <c r="J3" i="5"/>
  <c r="J2" i="5"/>
  <c r="J4" i="5"/>
  <c r="R7" i="2"/>
  <c r="J2" i="2"/>
  <c r="R10" i="2"/>
  <c r="T10" i="2"/>
  <c r="T9" i="2"/>
  <c r="R9" i="2"/>
  <c r="R8" i="2"/>
  <c r="T7" i="2"/>
  <c r="T8" i="2"/>
  <c r="J5" i="2"/>
  <c r="J4" i="2"/>
</calcChain>
</file>

<file path=xl/sharedStrings.xml><?xml version="1.0" encoding="utf-8"?>
<sst xmlns="http://schemas.openxmlformats.org/spreadsheetml/2006/main" count="719" uniqueCount="84">
  <si>
    <t>Board 1</t>
  </si>
  <si>
    <t>Vhigh</t>
  </si>
  <si>
    <t>Ihigh</t>
  </si>
  <si>
    <t>Vini</t>
  </si>
  <si>
    <t>Imeas</t>
  </si>
  <si>
    <t>Iini</t>
  </si>
  <si>
    <t>Vmeas</t>
  </si>
  <si>
    <t>Board 2</t>
  </si>
  <si>
    <t>Board 3</t>
  </si>
  <si>
    <t>Board 4</t>
  </si>
  <si>
    <t>Board 5</t>
  </si>
  <si>
    <t>B_high</t>
  </si>
  <si>
    <t>D_high</t>
  </si>
  <si>
    <t>A_low1</t>
  </si>
  <si>
    <t>B_low1</t>
  </si>
  <si>
    <t>C_low1</t>
  </si>
  <si>
    <t>D_low1</t>
  </si>
  <si>
    <t>A_low2</t>
  </si>
  <si>
    <t>B_low2</t>
  </si>
  <si>
    <t>C_low2</t>
  </si>
  <si>
    <t>D_low2</t>
  </si>
  <si>
    <t>V1low</t>
  </si>
  <si>
    <t>V2low</t>
  </si>
  <si>
    <t>I1low</t>
  </si>
  <si>
    <t>I2low</t>
  </si>
  <si>
    <t>Board 6</t>
  </si>
  <si>
    <t>Board 7</t>
  </si>
  <si>
    <t>Board 8</t>
  </si>
  <si>
    <t>Board 9</t>
  </si>
  <si>
    <t>Board 10</t>
  </si>
  <si>
    <t>Board 11</t>
  </si>
  <si>
    <r>
      <t>shield</t>
    </r>
    <r>
      <rPr>
        <sz val="8"/>
        <color rgb="FFBBBEBF"/>
        <rFont val="Consolas"/>
        <family val="3"/>
      </rPr>
      <t>.</t>
    </r>
    <r>
      <rPr>
        <sz val="8"/>
        <color rgb="FFC9D1D9"/>
        <rFont val="Consolas"/>
        <family val="3"/>
      </rPr>
      <t>sensors</t>
    </r>
    <r>
      <rPr>
        <sz val="8"/>
        <color rgb="FFBBBEBF"/>
        <rFont val="Consolas"/>
        <family val="3"/>
      </rPr>
      <t>.</t>
    </r>
    <r>
      <rPr>
        <sz val="8"/>
        <color rgb="FFD2A8FF"/>
        <rFont val="Consolas"/>
        <family val="3"/>
      </rPr>
      <t>setConversionParametersLinear</t>
    </r>
    <r>
      <rPr>
        <sz val="8"/>
        <color rgb="FFBBBEBF"/>
        <rFont val="Consolas"/>
        <family val="3"/>
      </rPr>
      <t>(</t>
    </r>
    <r>
      <rPr>
        <sz val="8"/>
        <color rgb="FF79C0FF"/>
        <rFont val="Consolas"/>
        <family val="3"/>
      </rPr>
      <t>V_HIGH</t>
    </r>
    <r>
      <rPr>
        <sz val="8"/>
        <color rgb="FFBBBEBF"/>
        <rFont val="Consolas"/>
        <family val="3"/>
      </rPr>
      <t>,=</t>
    </r>
    <r>
      <rPr>
        <sz val="8"/>
        <color rgb="FFC9D1D9"/>
        <rFont val="Consolas"/>
        <family val="3"/>
      </rPr>
      <t>TEXTE(</t>
    </r>
    <r>
      <rPr>
        <sz val="8"/>
        <color rgb="FFBBBEBF"/>
        <rFont val="Consolas"/>
        <family val="3"/>
      </rPr>
      <t>J2</t>
    </r>
    <r>
      <rPr>
        <sz val="8"/>
        <color rgb="FFC9D1D9"/>
        <rFont val="Consolas"/>
        <family val="3"/>
      </rPr>
      <t>)</t>
    </r>
    <r>
      <rPr>
        <sz val="8"/>
        <color rgb="FFBBBEBF"/>
        <rFont val="Consolas"/>
        <family val="3"/>
      </rPr>
      <t>,=</t>
    </r>
    <r>
      <rPr>
        <sz val="8"/>
        <color rgb="FFB5CEA8"/>
        <rFont val="Consolas"/>
        <family val="3"/>
      </rPr>
      <t>TEXTE(J3</t>
    </r>
    <r>
      <rPr>
        <sz val="8"/>
        <color rgb="FFBBBEBF"/>
        <rFont val="Consolas"/>
        <family val="3"/>
      </rPr>
      <t>)</t>
    </r>
    <r>
      <rPr>
        <sz val="8"/>
        <color rgb="FFB5CEA8"/>
        <rFont val="Consolas"/>
        <family val="3"/>
      </rPr>
      <t>)</t>
    </r>
    <r>
      <rPr>
        <sz val="8"/>
        <color rgb="FFBBBEBF"/>
        <rFont val="Consolas"/>
        <family val="3"/>
      </rPr>
      <t>;</t>
    </r>
  </si>
  <si>
    <t>Board 1 - Low1 run</t>
  </si>
  <si>
    <t>Udc (V)</t>
  </si>
  <si>
    <t>Board 2 - Low1 run</t>
  </si>
  <si>
    <t>Board 3 - Low1 run</t>
  </si>
  <si>
    <t>Board 4 - Low1 run</t>
  </si>
  <si>
    <t>Board 5 - Low1 run</t>
  </si>
  <si>
    <t>Board 6 - Low1 run</t>
  </si>
  <si>
    <t>Board 7 - Low1 run</t>
  </si>
  <si>
    <t>Board 8 - Low1 run</t>
  </si>
  <si>
    <t>Board 9 - Low1 run</t>
  </si>
  <si>
    <t>Board 10 - Low1 run</t>
  </si>
  <si>
    <t>Board 11 - Low1 run</t>
  </si>
  <si>
    <t>Point 1</t>
  </si>
  <si>
    <t>Point 2</t>
  </si>
  <si>
    <t>Point 3</t>
  </si>
  <si>
    <t>Point 4</t>
  </si>
  <si>
    <t>Point 5</t>
  </si>
  <si>
    <t>Paste 11 serial monitor lines per point in the Vhigh column of the board, then split them with Data &gt; Text to Columns, delimiter ':'. Column order = firmware print order: V_HIGH:V1_LOW:V2_LOW:I_HIGH:I1_LOW:I2_LOW.</t>
  </si>
  <si>
    <t>Board 1 - Low2 run</t>
  </si>
  <si>
    <t>Board 2 - Low2 run</t>
  </si>
  <si>
    <t>Board 3 - Low2 run</t>
  </si>
  <si>
    <t>Board 4 - Low2 run</t>
  </si>
  <si>
    <t>Board 5 - Low2 run</t>
  </si>
  <si>
    <t>Board 6 - Low2 run</t>
  </si>
  <si>
    <t>Board 7 - Low2 run</t>
  </si>
  <si>
    <t>Board 8 - Low2 run</t>
  </si>
  <si>
    <t>Board 9 - Low2 run</t>
  </si>
  <si>
    <t>Board 10 - Low2 run</t>
  </si>
  <si>
    <t>Board 11 - Low2 run</t>
  </si>
  <si>
    <t>*Low1 run: supply on VLow1 - GND, load on VHigh - GND, LEG1 at duty cycle 1 (key 1)</t>
  </si>
  <si>
    <t>**Low2 run: supply on VLow2 - GND, load on VHigh - GND, LEG2 at duty cycle 1 (key 2)</t>
  </si>
  <si>
    <t>Vhigh (Low1 run)*</t>
  </si>
  <si>
    <t>Ihigh (Low1 run)*</t>
  </si>
  <si>
    <t>Vlow1 (Low1 run)*</t>
  </si>
  <si>
    <t>Ilow1 (Low1 run)*</t>
  </si>
  <si>
    <t>Vhigh (Low2 run)**</t>
  </si>
  <si>
    <t>Ihigh (Low2 run)**</t>
  </si>
  <si>
    <t>Vlow2 (Low2 run)**</t>
  </si>
  <si>
    <t>Ilow2 (Low2 run)**</t>
  </si>
  <si>
    <t>A_high (Low1)</t>
  </si>
  <si>
    <t>B_high (Low1)</t>
  </si>
  <si>
    <t>C_high (Low1)</t>
  </si>
  <si>
    <t>D_high (Low1)</t>
  </si>
  <si>
    <t>A_high (Low2)</t>
  </si>
  <si>
    <t>B_high (Low2)</t>
  </si>
  <si>
    <t>C_high (Low2)</t>
  </si>
  <si>
    <t>D_high (Low2)</t>
  </si>
  <si>
    <t>Low2 - Low1</t>
  </si>
  <si>
    <t>A_high (%)</t>
  </si>
  <si>
    <t>C_high (%)</t>
  </si>
  <si>
    <t>Lines to paste in setup_routine() (V_HIGH and I_HIGH from the Low1 run):</t>
  </si>
  <si>
    <t>Alternative V_HIGH and I_HIGH lines (Low2 run):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</si>
</sst>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.00%"/>
  </numFmts>
  <fonts count="9" x14ac:knownFonts="1">
    <font>
      <sz val="11"/>
      <color theme="1"/>
      <name val="Aptos Narrow"/>
      <family val="2"/>
      <scheme val="minor"/>
    </font>
    <font>
      <sz val="8"/>
      <color rgb="FFBBBEBF"/>
      <name val="Consolas"/>
      <family val="3"/>
    </font>
    <font>
      <sz val="8"/>
      <color rgb="FFC9D1D9"/>
      <name val="Consolas"/>
      <family val="3"/>
    </font>
    <font>
      <sz val="8"/>
      <color rgb="FFD2A8FF"/>
      <name val="Consolas"/>
      <family val="3"/>
    </font>
    <font>
      <sz val="8"/>
      <color rgb="FF79C0FF"/>
      <name val="Consolas"/>
      <family val="3"/>
    </font>
    <font>
      <sz val="8"/>
      <color rgb="FFB5CEA8"/>
      <name val="Consolas"/>
      <family val="3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0" xfId="0" applyNumberFormat="1"/>
    <xf numFmtId="2" fontId="0" fillId="0" borderId="1" xfId="0" applyNumberFormat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2" fontId="0" fillId="0" borderId="1" xfId="0" applyNumberFormat="1" applyBorder="1"/>
    <xf numFmtId="2" fontId="0" fillId="0" borderId="6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164" fontId="0" fillId="0" borderId="0" xfId="0" applyNumberFormat="1"/>
    <xf numFmtId="0" fontId="8" fillId="0" borderId="0" xfId="0" applyFont="1"/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Low1 run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Tables!$C$5:$C$9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Tables!$B$5:$B$9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16-4F10-882B-50D4CFE86228}"/>
            </c:ext>
          </c:extLst>
        </c:ser>
        <c:ser>
          <c:idx val="1"/>
          <c:order val="1"/>
          <c:tx>
            <c:v>Low2 run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Tables!$K$5:$K$9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Tables!$J$5:$J$9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9C-4881-9A64-0FBD6DDF7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83040"/>
        <c:axId val="264074400"/>
      </c:lineChart>
      <c:catAx>
        <c:axId val="2640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74400"/>
        <c:crosses val="autoZero"/>
        <c:auto val="1"/>
        <c:lblAlgn val="ctr"/>
        <c:lblOffset val="100"/>
        <c:noMultiLvlLbl val="0"/>
      </c:catAx>
      <c:valAx>
        <c:axId val="264074400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4453937007874015"/>
          <c:y val="0.16708333333333336"/>
          <c:w val="0.82490507436570426"/>
          <c:h val="0.62308654126567509"/>
        </c:manualLayout>
      </c:layout>
      <c:lineChart>
        <c:grouping val="stacked"/>
        <c:varyColors val="0"/>
        <c:ser>
          <c:idx val="0"/>
          <c:order val="0"/>
          <c:tx>
            <c:v>Low1 run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Tables!$E$5:$E$9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Tables!$D$5:$D$9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7E-4DC9-BEA3-80DF197903EF}"/>
            </c:ext>
          </c:extLst>
        </c:ser>
        <c:ser>
          <c:idx val="1"/>
          <c:order val="1"/>
          <c:tx>
            <c:v>Low2 run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Tables!$M$5:$M$9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Tables!$L$5:$L$9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2C-433B-85F0-224673917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83040"/>
        <c:axId val="264074400"/>
      </c:lineChart>
      <c:catAx>
        <c:axId val="2640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74400"/>
        <c:crosses val="autoZero"/>
        <c:auto val="1"/>
        <c:lblAlgn val="ctr"/>
        <c:lblOffset val="100"/>
        <c:noMultiLvlLbl val="0"/>
      </c:catAx>
      <c:valAx>
        <c:axId val="26407440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Vlow1 (Low1 run)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Tables!$G$5:$G$9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Tables!$F$5:$F$9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78-42E9-A46B-CE8F1BBDE76F}"/>
            </c:ext>
          </c:extLst>
        </c:ser>
        <c:ser>
          <c:idx val="1"/>
          <c:order val="1"/>
          <c:tx>
            <c:v>Vlow2 (Low2 run)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Tables!$O$5:$O$9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Tables!$N$5:$N$9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78-42E9-A46B-CE8F1BBDE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00256"/>
        <c:axId val="798592576"/>
      </c:scatterChart>
      <c:valAx>
        <c:axId val="798600256"/>
        <c:scaling>
          <c:orientation val="minMax"/>
          <c:min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592576"/>
        <c:crosses val="autoZero"/>
        <c:crossBetween val="midCat"/>
      </c:valAx>
      <c:valAx>
        <c:axId val="79859257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60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Ilow1 (Low1 run)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Tables!$I$5:$I$9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Tables!$H$5:$H$9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48-4D1A-B4F3-03D912F9C18D}"/>
            </c:ext>
          </c:extLst>
        </c:ser>
        <c:ser>
          <c:idx val="1"/>
          <c:order val="1"/>
          <c:tx>
            <c:v>Ilow2 (Low2 run)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Tables!$Q$5:$Q$9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Tables!$P$5:$P$9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48-4D1A-B4F3-03D912F9C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00256"/>
        <c:axId val="798592576"/>
      </c:scatterChart>
      <c:valAx>
        <c:axId val="79860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592576"/>
        <c:crosses val="autoZero"/>
        <c:crossBetween val="midCat"/>
      </c:valAx>
      <c:valAx>
        <c:axId val="798592576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60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Low1 run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Tables!$C$13:$C$17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Tables!$B$13:$B$17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5F-4522-B613-9E9F7AFCE45A}"/>
            </c:ext>
          </c:extLst>
        </c:ser>
        <c:ser>
          <c:idx val="1"/>
          <c:order val="1"/>
          <c:tx>
            <c:v>Low2 run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Tables!$K$13:$K$17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Tables!$J$13:$J$17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E9-4779-8215-468DA2078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83040"/>
        <c:axId val="264074400"/>
      </c:lineChart>
      <c:catAx>
        <c:axId val="2640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74400"/>
        <c:crosses val="autoZero"/>
        <c:auto val="1"/>
        <c:lblAlgn val="ctr"/>
        <c:lblOffset val="100"/>
        <c:noMultiLvlLbl val="0"/>
      </c:catAx>
      <c:valAx>
        <c:axId val="264074400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4453937007874015"/>
          <c:y val="0.16708333333333336"/>
          <c:w val="0.82490507436570426"/>
          <c:h val="0.62308654126567509"/>
        </c:manualLayout>
      </c:layout>
      <c:lineChart>
        <c:grouping val="stacked"/>
        <c:varyColors val="0"/>
        <c:ser>
          <c:idx val="0"/>
          <c:order val="0"/>
          <c:tx>
            <c:v>Low1 run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Tables!$E$13:$E$17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Tables!$D$13:$D$17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E-40E6-8E22-3000A1DB40D6}"/>
            </c:ext>
          </c:extLst>
        </c:ser>
        <c:ser>
          <c:idx val="1"/>
          <c:order val="1"/>
          <c:tx>
            <c:v>Low2 run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Tables!$M$13:$M$17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Tables!$L$13:$L$17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60-4389-8060-725338946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83040"/>
        <c:axId val="264074400"/>
      </c:lineChart>
      <c:catAx>
        <c:axId val="2640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74400"/>
        <c:crosses val="autoZero"/>
        <c:auto val="1"/>
        <c:lblAlgn val="ctr"/>
        <c:lblOffset val="100"/>
        <c:noMultiLvlLbl val="0"/>
      </c:catAx>
      <c:valAx>
        <c:axId val="26407440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Vlow1 (Low1 run)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Tables!$G$13:$G$17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Tables!$F$13:$F$17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6D-40F3-8B99-52C21A143EBD}"/>
            </c:ext>
          </c:extLst>
        </c:ser>
        <c:ser>
          <c:idx val="1"/>
          <c:order val="1"/>
          <c:tx>
            <c:v>Vlow2 (Low2 run)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Tables!$O$13:$O$17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Tables!$N$13:$N$17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6D-40F3-8B99-52C21A143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00256"/>
        <c:axId val="798592576"/>
      </c:scatterChart>
      <c:valAx>
        <c:axId val="798600256"/>
        <c:scaling>
          <c:orientation val="minMax"/>
          <c:min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592576"/>
        <c:crosses val="autoZero"/>
        <c:crossBetween val="midCat"/>
      </c:valAx>
      <c:valAx>
        <c:axId val="79859257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60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Ilow1 (Low1 run)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Tables!$I$13:$I$17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Tables!$H$13:$H$17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A0-4FC8-91E2-8482FDE156E6}"/>
            </c:ext>
          </c:extLst>
        </c:ser>
        <c:ser>
          <c:idx val="1"/>
          <c:order val="1"/>
          <c:tx>
            <c:v>Ilow2 (Low2 run)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Tables!$Q$13:$Q$17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Tables!$P$13:$P$17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A0-4FC8-91E2-8482FDE15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00256"/>
        <c:axId val="798592576"/>
      </c:scatterChart>
      <c:valAx>
        <c:axId val="79860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592576"/>
        <c:crosses val="autoZero"/>
        <c:crossBetween val="midCat"/>
      </c:valAx>
      <c:valAx>
        <c:axId val="798592576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60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Low1 run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Tables!$C$21:$C$25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Tables!$B$21:$B$25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E1-4DC5-8A18-15F289C77491}"/>
            </c:ext>
          </c:extLst>
        </c:ser>
        <c:ser>
          <c:idx val="1"/>
          <c:order val="1"/>
          <c:tx>
            <c:v>Low2 run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Tables!$K$21:$K$25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Tables!$J$21:$J$25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CE-44E9-ACB0-77083C4DA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83040"/>
        <c:axId val="264074400"/>
      </c:lineChart>
      <c:catAx>
        <c:axId val="2640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74400"/>
        <c:crosses val="autoZero"/>
        <c:auto val="1"/>
        <c:lblAlgn val="ctr"/>
        <c:lblOffset val="100"/>
        <c:noMultiLvlLbl val="0"/>
      </c:catAx>
      <c:valAx>
        <c:axId val="264074400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4453937007874015"/>
          <c:y val="0.16708333333333336"/>
          <c:w val="0.82490507436570426"/>
          <c:h val="0.62308654126567509"/>
        </c:manualLayout>
      </c:layout>
      <c:lineChart>
        <c:grouping val="stacked"/>
        <c:varyColors val="0"/>
        <c:ser>
          <c:idx val="0"/>
          <c:order val="0"/>
          <c:tx>
            <c:v>Low1 run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Tables!$E$21:$E$25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Tables!$D$21:$D$25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BB-4B0C-BC8E-9AB5CD375FE3}"/>
            </c:ext>
          </c:extLst>
        </c:ser>
        <c:ser>
          <c:idx val="1"/>
          <c:order val="1"/>
          <c:tx>
            <c:v>Low2 run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Tables!$M$21:$M$25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Tables!$L$21:$L$25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6-4232-80B4-4CA8E6173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83040"/>
        <c:axId val="264074400"/>
      </c:lineChart>
      <c:catAx>
        <c:axId val="2640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74400"/>
        <c:crosses val="autoZero"/>
        <c:auto val="1"/>
        <c:lblAlgn val="ctr"/>
        <c:lblOffset val="100"/>
        <c:noMultiLvlLbl val="0"/>
      </c:catAx>
      <c:valAx>
        <c:axId val="26407440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Vlow1 (Low1 run)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Tables!$G$21:$G$25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Tables!$F$21:$F$25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5A-4519-9CC2-4BB41CC29282}"/>
            </c:ext>
          </c:extLst>
        </c:ser>
        <c:ser>
          <c:idx val="1"/>
          <c:order val="1"/>
          <c:tx>
            <c:v>Vlow2 (Low2 run)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Tables!$O$21:$O$25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Tables!$N$21:$N$25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5A-4519-9CC2-4BB41CC29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00256"/>
        <c:axId val="798592576"/>
      </c:scatterChart>
      <c:valAx>
        <c:axId val="798600256"/>
        <c:scaling>
          <c:orientation val="minMax"/>
          <c:min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592576"/>
        <c:crosses val="autoZero"/>
        <c:crossBetween val="midCat"/>
      </c:valAx>
      <c:valAx>
        <c:axId val="79859257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60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Ilow1 (Low1 run)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Tables!$I$21:$I$25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Tables!$H$21:$H$25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A2-4793-AB1B-8F3D5A9AE829}"/>
            </c:ext>
          </c:extLst>
        </c:ser>
        <c:ser>
          <c:idx val="1"/>
          <c:order val="1"/>
          <c:tx>
            <c:v>Ilow2 (Low2 run)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Tables!$Q$21:$Q$25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Tables!$P$21:$P$25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A2-4793-AB1B-8F3D5A9AE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00256"/>
        <c:axId val="798592576"/>
      </c:scatterChart>
      <c:valAx>
        <c:axId val="79860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592576"/>
        <c:crosses val="autoZero"/>
        <c:crossBetween val="midCat"/>
      </c:valAx>
      <c:valAx>
        <c:axId val="798592576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60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Low1 run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Tables!$C$29:$C$33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Tables!$B$29:$B$33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DA-489F-8482-33660393A018}"/>
            </c:ext>
          </c:extLst>
        </c:ser>
        <c:ser>
          <c:idx val="1"/>
          <c:order val="1"/>
          <c:tx>
            <c:v>Low2 run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Tables!$K$29:$K$33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Tables!$J$29:$J$33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69-4228-8006-5584D385B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83040"/>
        <c:axId val="264074400"/>
      </c:lineChart>
      <c:catAx>
        <c:axId val="2640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74400"/>
        <c:crosses val="autoZero"/>
        <c:auto val="1"/>
        <c:lblAlgn val="ctr"/>
        <c:lblOffset val="100"/>
        <c:noMultiLvlLbl val="0"/>
      </c:catAx>
      <c:valAx>
        <c:axId val="26407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Vlow1 (Low1 run)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Tables!$G$29:$G$33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Tables!$F$29:$F$33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C9-4946-A44A-6A1BF251E644}"/>
            </c:ext>
          </c:extLst>
        </c:ser>
        <c:ser>
          <c:idx val="1"/>
          <c:order val="1"/>
          <c:tx>
            <c:v>Vlow2 (Low2 run)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Tables!$O$29:$O$33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Tables!$N$29:$N$33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C9-4946-A44A-6A1BF251E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00256"/>
        <c:axId val="798592576"/>
      </c:scatterChart>
      <c:valAx>
        <c:axId val="79860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592576"/>
        <c:crosses val="autoZero"/>
        <c:crossBetween val="midCat"/>
      </c:valAx>
      <c:valAx>
        <c:axId val="79859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60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Ilow1 (Low1 run)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Tables!$I$29:$I$33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Tables!$H$29:$H$33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A9-4A92-9E4A-855C496B783D}"/>
            </c:ext>
          </c:extLst>
        </c:ser>
        <c:ser>
          <c:idx val="1"/>
          <c:order val="1"/>
          <c:tx>
            <c:v>Ilow2 (Low2 run)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Tables!$Q$29:$Q$33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Tables!$P$29:$P$33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A9-4A92-9E4A-855C496B7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00256"/>
        <c:axId val="798592576"/>
      </c:scatterChart>
      <c:valAx>
        <c:axId val="79860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592576"/>
        <c:crosses val="autoZero"/>
        <c:crossBetween val="midCat"/>
      </c:valAx>
      <c:valAx>
        <c:axId val="798592576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60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4453937007874015"/>
          <c:y val="0.16708333333333336"/>
          <c:w val="0.82490507436570426"/>
          <c:h val="0.62308654126567509"/>
        </c:manualLayout>
      </c:layout>
      <c:lineChart>
        <c:grouping val="stacked"/>
        <c:varyColors val="0"/>
        <c:ser>
          <c:idx val="0"/>
          <c:order val="0"/>
          <c:tx>
            <c:v>Low1 run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Tables!$E$29:$E$33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Tables!$D$29:$D$33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90-4E2E-9687-98B7D070C656}"/>
            </c:ext>
          </c:extLst>
        </c:ser>
        <c:ser>
          <c:idx val="1"/>
          <c:order val="1"/>
          <c:tx>
            <c:v>Low2 run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Tables!$M$29:$M$33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Tables!$L$29:$L$33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51-41CF-9C0E-76D571B64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83040"/>
        <c:axId val="264074400"/>
      </c:lineChart>
      <c:catAx>
        <c:axId val="2640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74400"/>
        <c:crosses val="autoZero"/>
        <c:auto val="1"/>
        <c:lblAlgn val="ctr"/>
        <c:lblOffset val="100"/>
        <c:noMultiLvlLbl val="0"/>
      </c:catAx>
      <c:valAx>
        <c:axId val="26407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Low1 run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Tables!$C$37:$C$41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Tables!$B$37:$B$41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8-40D7-B129-B9CA217F02D2}"/>
            </c:ext>
          </c:extLst>
        </c:ser>
        <c:ser>
          <c:idx val="1"/>
          <c:order val="1"/>
          <c:tx>
            <c:v>Low2 run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Tables!$K$37:$K$41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Tables!$J$37:$J$41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1-4FE2-82E8-C1E374323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83040"/>
        <c:axId val="264074400"/>
      </c:lineChart>
      <c:catAx>
        <c:axId val="2640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74400"/>
        <c:crosses val="autoZero"/>
        <c:auto val="1"/>
        <c:lblAlgn val="ctr"/>
        <c:lblOffset val="100"/>
        <c:noMultiLvlLbl val="0"/>
      </c:catAx>
      <c:valAx>
        <c:axId val="264074400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4453937007874015"/>
          <c:y val="0.16708333333333336"/>
          <c:w val="0.82490507436570426"/>
          <c:h val="0.62308654126567509"/>
        </c:manualLayout>
      </c:layout>
      <c:lineChart>
        <c:grouping val="stacked"/>
        <c:varyColors val="0"/>
        <c:ser>
          <c:idx val="0"/>
          <c:order val="0"/>
          <c:tx>
            <c:v>Low1 run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Tables!$E$37:$E$41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Tables!$D$37:$D$41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C3-49B2-81B1-CF54A7D5F56F}"/>
            </c:ext>
          </c:extLst>
        </c:ser>
        <c:ser>
          <c:idx val="1"/>
          <c:order val="1"/>
          <c:tx>
            <c:v>Low2 run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Tables!$M$37:$M$41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Tables!$L$37:$L$41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53-4323-9E36-E79B38311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83040"/>
        <c:axId val="264074400"/>
      </c:lineChart>
      <c:catAx>
        <c:axId val="2640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74400"/>
        <c:crosses val="autoZero"/>
        <c:auto val="1"/>
        <c:lblAlgn val="ctr"/>
        <c:lblOffset val="100"/>
        <c:noMultiLvlLbl val="0"/>
      </c:catAx>
      <c:valAx>
        <c:axId val="26407440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Vlow1 (Low1 run)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Tables!$G$37:$G$41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Tables!$F$37:$F$41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95-4A36-AB91-8BD43DD52E62}"/>
            </c:ext>
          </c:extLst>
        </c:ser>
        <c:ser>
          <c:idx val="1"/>
          <c:order val="1"/>
          <c:tx>
            <c:v>Vlow2 (Low2 run)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Tables!$O$37:$O$41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Tables!$N$37:$N$41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95-4A36-AB91-8BD43DD52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00256"/>
        <c:axId val="798592576"/>
      </c:scatterChart>
      <c:valAx>
        <c:axId val="798600256"/>
        <c:scaling>
          <c:orientation val="minMax"/>
          <c:min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592576"/>
        <c:crosses val="autoZero"/>
        <c:crossBetween val="midCat"/>
      </c:valAx>
      <c:valAx>
        <c:axId val="79859257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60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Ilow1 (Low1 run)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Tables!$I$37:$I$41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Tables!$H$37:$H$41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B7-42F3-A52A-CDD545253718}"/>
            </c:ext>
          </c:extLst>
        </c:ser>
        <c:ser>
          <c:idx val="1"/>
          <c:order val="1"/>
          <c:tx>
            <c:v>Ilow2 (Low2 run)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Tables!$Q$37:$Q$41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Tables!$P$37:$P$41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B7-42F3-A52A-CDD545253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00256"/>
        <c:axId val="798592576"/>
      </c:scatterChart>
      <c:valAx>
        <c:axId val="79860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592576"/>
        <c:crosses val="autoZero"/>
        <c:crossBetween val="midCat"/>
      </c:valAx>
      <c:valAx>
        <c:axId val="798592576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60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Low1 run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Tables!$C$45:$C$49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Tables!$B$45:$B$49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BB-49BC-8BEE-4DF9A12F01D8}"/>
            </c:ext>
          </c:extLst>
        </c:ser>
        <c:ser>
          <c:idx val="1"/>
          <c:order val="1"/>
          <c:tx>
            <c:v>Low2 run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Tables!$K$45:$K$49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Tables!$J$45:$J$49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C5-4006-855A-4F170B2CA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83040"/>
        <c:axId val="264074400"/>
      </c:lineChart>
      <c:catAx>
        <c:axId val="2640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74400"/>
        <c:crosses val="autoZero"/>
        <c:auto val="1"/>
        <c:lblAlgn val="ctr"/>
        <c:lblOffset val="100"/>
        <c:noMultiLvlLbl val="0"/>
      </c:catAx>
      <c:valAx>
        <c:axId val="264074400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4453937007874015"/>
          <c:y val="0.16708333333333336"/>
          <c:w val="0.82490507436570426"/>
          <c:h val="0.62308654126567509"/>
        </c:manualLayout>
      </c:layout>
      <c:lineChart>
        <c:grouping val="stacked"/>
        <c:varyColors val="0"/>
        <c:ser>
          <c:idx val="0"/>
          <c:order val="0"/>
          <c:tx>
            <c:v>Low1 run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Tables!$E$45:$E$49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Tables!$D$45:$D$49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1D-4523-95B0-D62E31CABE1F}"/>
            </c:ext>
          </c:extLst>
        </c:ser>
        <c:ser>
          <c:idx val="1"/>
          <c:order val="1"/>
          <c:tx>
            <c:v>Low2 run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Tables!$M$45:$M$49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Tables!$L$45:$L$49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5C-42C6-B2FF-52709C884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83040"/>
        <c:axId val="264074400"/>
      </c:lineChart>
      <c:catAx>
        <c:axId val="2640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74400"/>
        <c:crosses val="autoZero"/>
        <c:auto val="1"/>
        <c:lblAlgn val="ctr"/>
        <c:lblOffset val="100"/>
        <c:noMultiLvlLbl val="0"/>
      </c:catAx>
      <c:valAx>
        <c:axId val="26407440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Vlow1 (Low1 run)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Tables!$G$45:$G$49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Tables!$F$45:$F$49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41-4D06-AD81-FE84D3A9A570}"/>
            </c:ext>
          </c:extLst>
        </c:ser>
        <c:ser>
          <c:idx val="1"/>
          <c:order val="1"/>
          <c:tx>
            <c:v>Vlow2 (Low2 run)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Tables!$O$45:$O$49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Tables!$N$45:$N$49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41-4D06-AD81-FE84D3A9A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00256"/>
        <c:axId val="798592576"/>
      </c:scatterChart>
      <c:valAx>
        <c:axId val="798600256"/>
        <c:scaling>
          <c:orientation val="minMax"/>
          <c:min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592576"/>
        <c:crosses val="autoZero"/>
        <c:crossBetween val="midCat"/>
      </c:valAx>
      <c:valAx>
        <c:axId val="79859257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60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Ilow1 (Low1 run)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Tables!$I$45:$I$49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Tables!$H$45:$H$49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3E-4C29-BD27-CF56D1CC6005}"/>
            </c:ext>
          </c:extLst>
        </c:ser>
        <c:ser>
          <c:idx val="1"/>
          <c:order val="1"/>
          <c:tx>
            <c:v>Ilow2 (Low2 run)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Tables!$Q$45:$Q$49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Tables!$P$45:$P$49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3E-4C29-BD27-CF56D1CC6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00256"/>
        <c:axId val="798592576"/>
      </c:scatterChart>
      <c:valAx>
        <c:axId val="79860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592576"/>
        <c:crosses val="autoZero"/>
        <c:crossBetween val="midCat"/>
      </c:valAx>
      <c:valAx>
        <c:axId val="798592576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60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Low1 run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Tables!$C$53:$C$57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Tables!$B$53:$B$57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68-4B29-A7DE-B8C4F3738DDD}"/>
            </c:ext>
          </c:extLst>
        </c:ser>
        <c:ser>
          <c:idx val="1"/>
          <c:order val="1"/>
          <c:tx>
            <c:v>Low2 run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Tables!$K$53:$K$57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Tables!$J$53:$J$57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D-4A06-9B65-C3197F50D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83040"/>
        <c:axId val="264074400"/>
      </c:lineChart>
      <c:catAx>
        <c:axId val="2640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74400"/>
        <c:crosses val="autoZero"/>
        <c:auto val="1"/>
        <c:lblAlgn val="ctr"/>
        <c:lblOffset val="100"/>
        <c:noMultiLvlLbl val="0"/>
      </c:catAx>
      <c:valAx>
        <c:axId val="264074400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4453937007874015"/>
          <c:y val="0.16708333333333336"/>
          <c:w val="0.82490507436570426"/>
          <c:h val="0.62308654126567509"/>
        </c:manualLayout>
      </c:layout>
      <c:lineChart>
        <c:grouping val="stacked"/>
        <c:varyColors val="0"/>
        <c:ser>
          <c:idx val="0"/>
          <c:order val="0"/>
          <c:tx>
            <c:v>Low1 run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Tables!$E$53:$E$57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Tables!$D$53:$D$57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DB-49DD-9FED-61A1E5323159}"/>
            </c:ext>
          </c:extLst>
        </c:ser>
        <c:ser>
          <c:idx val="1"/>
          <c:order val="1"/>
          <c:tx>
            <c:v>Low2 run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Tables!$M$53:$M$57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Tables!$L$53:$L$57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2E-4B51-8771-FFEE1DF60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83040"/>
        <c:axId val="264074400"/>
      </c:lineChart>
      <c:catAx>
        <c:axId val="2640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74400"/>
        <c:crosses val="autoZero"/>
        <c:auto val="1"/>
        <c:lblAlgn val="ctr"/>
        <c:lblOffset val="100"/>
        <c:noMultiLvlLbl val="0"/>
      </c:catAx>
      <c:valAx>
        <c:axId val="26407440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Vlow1 (Low1 run)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Tables!$G$53:$G$57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Tables!$F$53:$F$57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32-401B-A2CB-6D568DE12B0C}"/>
            </c:ext>
          </c:extLst>
        </c:ser>
        <c:ser>
          <c:idx val="1"/>
          <c:order val="1"/>
          <c:tx>
            <c:v>Vlow2 (Low2 run)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Tables!$O$53:$O$57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Tables!$N$53:$N$57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32-401B-A2CB-6D568DE12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00256"/>
        <c:axId val="798592576"/>
      </c:scatterChart>
      <c:valAx>
        <c:axId val="798600256"/>
        <c:scaling>
          <c:orientation val="minMax"/>
          <c:min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592576"/>
        <c:crosses val="autoZero"/>
        <c:crossBetween val="midCat"/>
      </c:valAx>
      <c:valAx>
        <c:axId val="79859257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60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Ilow1 (Low1 run)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Tables!$I$53:$I$57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Tables!$H$53:$H$57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40-4C47-A57C-A703DEE81AC4}"/>
            </c:ext>
          </c:extLst>
        </c:ser>
        <c:ser>
          <c:idx val="1"/>
          <c:order val="1"/>
          <c:tx>
            <c:v>Ilow2 (Low2 run)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Tables!$Q$53:$Q$57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Tables!$P$53:$P$57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40-4C47-A57C-A703DEE81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00256"/>
        <c:axId val="798592576"/>
      </c:scatterChart>
      <c:valAx>
        <c:axId val="79860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592576"/>
        <c:crosses val="autoZero"/>
        <c:crossBetween val="midCat"/>
      </c:valAx>
      <c:valAx>
        <c:axId val="798592576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60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Low1 run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Tables!$C$61:$C$65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Tables!$B$61:$B$65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3F-4310-84C7-9199D873C27C}"/>
            </c:ext>
          </c:extLst>
        </c:ser>
        <c:ser>
          <c:idx val="1"/>
          <c:order val="1"/>
          <c:tx>
            <c:v>Low2 run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Tables!$K$61:$K$65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Tables!$J$61:$J$65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CE-4391-A948-13D8C3EF6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83040"/>
        <c:axId val="264074400"/>
      </c:lineChart>
      <c:catAx>
        <c:axId val="2640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74400"/>
        <c:crosses val="autoZero"/>
        <c:auto val="1"/>
        <c:lblAlgn val="ctr"/>
        <c:lblOffset val="100"/>
        <c:noMultiLvlLbl val="0"/>
      </c:catAx>
      <c:valAx>
        <c:axId val="264074400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4453937007874015"/>
          <c:y val="0.16708333333333336"/>
          <c:w val="0.82490507436570426"/>
          <c:h val="0.62308654126567509"/>
        </c:manualLayout>
      </c:layout>
      <c:lineChart>
        <c:grouping val="stacked"/>
        <c:varyColors val="0"/>
        <c:ser>
          <c:idx val="0"/>
          <c:order val="0"/>
          <c:tx>
            <c:v>Low1 run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Tables!$E$61:$E$65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Tables!$D$61:$D$65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B8-4686-B8D1-84587D143C87}"/>
            </c:ext>
          </c:extLst>
        </c:ser>
        <c:ser>
          <c:idx val="1"/>
          <c:order val="1"/>
          <c:tx>
            <c:v>Low2 run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Tables!$M$61:$M$65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Tables!$L$61:$L$65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8B-4753-966F-280060BB8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83040"/>
        <c:axId val="264074400"/>
      </c:lineChart>
      <c:catAx>
        <c:axId val="2640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74400"/>
        <c:crosses val="autoZero"/>
        <c:auto val="1"/>
        <c:lblAlgn val="ctr"/>
        <c:lblOffset val="100"/>
        <c:noMultiLvlLbl val="0"/>
      </c:catAx>
      <c:valAx>
        <c:axId val="26407440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Vlow1 (Low1 run)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Tables!$G$61:$G$65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Tables!$F$61:$F$65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25-465A-9D25-1C69E5AC0DC1}"/>
            </c:ext>
          </c:extLst>
        </c:ser>
        <c:ser>
          <c:idx val="1"/>
          <c:order val="1"/>
          <c:tx>
            <c:v>Vlow2 (Low2 run)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Tables!$O$61:$O$65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Tables!$N$61:$N$65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25-465A-9D25-1C69E5AC0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00256"/>
        <c:axId val="798592576"/>
      </c:scatterChart>
      <c:valAx>
        <c:axId val="798600256"/>
        <c:scaling>
          <c:orientation val="minMax"/>
          <c:min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592576"/>
        <c:crosses val="autoZero"/>
        <c:crossBetween val="midCat"/>
      </c:valAx>
      <c:valAx>
        <c:axId val="79859257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60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Ilow1 (Low1 run)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Tables!$I$61:$I$65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Tables!$H$61:$H$65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AB-4E2F-BAFD-AE06512BCBBC}"/>
            </c:ext>
          </c:extLst>
        </c:ser>
        <c:ser>
          <c:idx val="1"/>
          <c:order val="1"/>
          <c:tx>
            <c:v>Ilow2 (Low2 run)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Tables!$Q$61:$Q$65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Tables!$P$61:$P$65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AB-4E2F-BAFD-AE06512BC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00256"/>
        <c:axId val="798592576"/>
      </c:scatterChart>
      <c:valAx>
        <c:axId val="79860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592576"/>
        <c:crosses val="autoZero"/>
        <c:crossBetween val="midCat"/>
      </c:valAx>
      <c:valAx>
        <c:axId val="798592576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60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Low1 run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Tables!$C$69:$C$73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Tables!$B$69:$B$73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32-48A4-BE37-B2642173026A}"/>
            </c:ext>
          </c:extLst>
        </c:ser>
        <c:ser>
          <c:idx val="1"/>
          <c:order val="1"/>
          <c:tx>
            <c:v>Low2 run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Tables!$K$69:$K$73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Tables!$J$69:$J$73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1-430C-9D18-4FD98117F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83040"/>
        <c:axId val="264074400"/>
      </c:lineChart>
      <c:catAx>
        <c:axId val="2640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74400"/>
        <c:crosses val="autoZero"/>
        <c:auto val="1"/>
        <c:lblAlgn val="ctr"/>
        <c:lblOffset val="100"/>
        <c:noMultiLvlLbl val="0"/>
      </c:catAx>
      <c:valAx>
        <c:axId val="264074400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4453937007874015"/>
          <c:y val="0.16708333333333336"/>
          <c:w val="0.82490507436570426"/>
          <c:h val="0.62308654126567509"/>
        </c:manualLayout>
      </c:layout>
      <c:lineChart>
        <c:grouping val="stacked"/>
        <c:varyColors val="0"/>
        <c:ser>
          <c:idx val="0"/>
          <c:order val="0"/>
          <c:tx>
            <c:v>Low1 run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Tables!$E$69:$E$73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Tables!$D$69:$D$73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6D-422A-9FE5-9831295DD047}"/>
            </c:ext>
          </c:extLst>
        </c:ser>
        <c:ser>
          <c:idx val="1"/>
          <c:order val="1"/>
          <c:tx>
            <c:v>Low2 run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Tables!$M$69:$M$73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Tables!$L$69:$L$73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6F-4656-8D25-B953DEC40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83040"/>
        <c:axId val="264074400"/>
      </c:lineChart>
      <c:catAx>
        <c:axId val="2640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74400"/>
        <c:crosses val="autoZero"/>
        <c:auto val="1"/>
        <c:lblAlgn val="ctr"/>
        <c:lblOffset val="100"/>
        <c:noMultiLvlLbl val="0"/>
      </c:catAx>
      <c:valAx>
        <c:axId val="26407440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Vlow1 (Low1 run)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Tables!$G$69:$G$73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Tables!$F$69:$F$73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60-43E8-BBD3-B3B9A7A13EC9}"/>
            </c:ext>
          </c:extLst>
        </c:ser>
        <c:ser>
          <c:idx val="1"/>
          <c:order val="1"/>
          <c:tx>
            <c:v>Vlow2 (Low2 run)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Tables!$O$69:$O$73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Tables!$N$69:$N$73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60-43E8-BBD3-B3B9A7A13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00256"/>
        <c:axId val="798592576"/>
      </c:scatterChart>
      <c:valAx>
        <c:axId val="798600256"/>
        <c:scaling>
          <c:orientation val="minMax"/>
          <c:min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592576"/>
        <c:crosses val="autoZero"/>
        <c:crossBetween val="midCat"/>
      </c:valAx>
      <c:valAx>
        <c:axId val="79859257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60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Ilow1 (Low1 run)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Tables!$I$69:$I$73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Tables!$H$69:$H$73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F5-48A1-BA53-F5E2BB1D0ABB}"/>
            </c:ext>
          </c:extLst>
        </c:ser>
        <c:ser>
          <c:idx val="1"/>
          <c:order val="1"/>
          <c:tx>
            <c:v>Ilow2 (Low2 run)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Tables!$Q$69:$Q$73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Tables!$P$69:$P$73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F5-48A1-BA53-F5E2BB1D0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00256"/>
        <c:axId val="798592576"/>
      </c:scatterChart>
      <c:valAx>
        <c:axId val="79860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592576"/>
        <c:crosses val="autoZero"/>
        <c:crossBetween val="midCat"/>
      </c:valAx>
      <c:valAx>
        <c:axId val="798592576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60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Low1 run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Tables!$C$77:$C$81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Tables!$B$77:$B$81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C2-4731-A4A7-6FE6A0D5D429}"/>
            </c:ext>
          </c:extLst>
        </c:ser>
        <c:ser>
          <c:idx val="1"/>
          <c:order val="1"/>
          <c:tx>
            <c:v>Low2 run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Tables!$K$77:$K$81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Tables!$J$77:$J$81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6B-402A-B3FA-76370C7D1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83040"/>
        <c:axId val="264074400"/>
      </c:lineChart>
      <c:catAx>
        <c:axId val="2640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74400"/>
        <c:crosses val="autoZero"/>
        <c:auto val="1"/>
        <c:lblAlgn val="ctr"/>
        <c:lblOffset val="100"/>
        <c:noMultiLvlLbl val="0"/>
      </c:catAx>
      <c:valAx>
        <c:axId val="264074400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4453937007874015"/>
          <c:y val="0.16708333333333336"/>
          <c:w val="0.82490507436570426"/>
          <c:h val="0.62308654126567509"/>
        </c:manualLayout>
      </c:layout>
      <c:lineChart>
        <c:grouping val="stacked"/>
        <c:varyColors val="0"/>
        <c:ser>
          <c:idx val="0"/>
          <c:order val="0"/>
          <c:tx>
            <c:v>Low1 run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Tables!$E$77:$E$81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Tables!$D$77:$D$81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47-4777-9ED8-B5C9C1EA254A}"/>
            </c:ext>
          </c:extLst>
        </c:ser>
        <c:ser>
          <c:idx val="1"/>
          <c:order val="1"/>
          <c:tx>
            <c:v>Low2 run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Tables!$M$77:$M$81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Tables!$L$77:$L$81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B9-4E0F-B5E1-CEF54D08C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83040"/>
        <c:axId val="264074400"/>
      </c:lineChart>
      <c:catAx>
        <c:axId val="2640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74400"/>
        <c:crosses val="autoZero"/>
        <c:auto val="1"/>
        <c:lblAlgn val="ctr"/>
        <c:lblOffset val="100"/>
        <c:noMultiLvlLbl val="0"/>
      </c:catAx>
      <c:valAx>
        <c:axId val="26407440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Vlow1 (Low1 run)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Tables!$G$77:$G$81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Tables!$F$77:$F$81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A5-453F-A237-4BA0CAB3593C}"/>
            </c:ext>
          </c:extLst>
        </c:ser>
        <c:ser>
          <c:idx val="1"/>
          <c:order val="1"/>
          <c:tx>
            <c:v>Vlow2 (Low2 run)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Tables!$O$77:$O$81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Tables!$N$77:$N$81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A5-453F-A237-4BA0CAB35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00256"/>
        <c:axId val="798592576"/>
      </c:scatterChart>
      <c:valAx>
        <c:axId val="798600256"/>
        <c:scaling>
          <c:orientation val="minMax"/>
          <c:min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592576"/>
        <c:crosses val="autoZero"/>
        <c:crossBetween val="midCat"/>
      </c:valAx>
      <c:valAx>
        <c:axId val="79859257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60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Ilow1 (Low1 run)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Tables!$I$77:$I$81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Tables!$H$77:$H$81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29-4C0D-B070-EB8AEE079778}"/>
            </c:ext>
          </c:extLst>
        </c:ser>
        <c:ser>
          <c:idx val="1"/>
          <c:order val="1"/>
          <c:tx>
            <c:v>Ilow2 (Low2 run)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Tables!$Q$77:$Q$81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Tables!$P$77:$P$81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29-4C0D-B070-EB8AEE079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00256"/>
        <c:axId val="798592576"/>
      </c:scatterChart>
      <c:valAx>
        <c:axId val="79860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592576"/>
        <c:crosses val="autoZero"/>
        <c:crossBetween val="midCat"/>
      </c:valAx>
      <c:valAx>
        <c:axId val="798592576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60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Low1 run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Tables!$C$85:$C$89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Tables!$B$85:$B$89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FC-4D0C-897A-E47AE321F7C1}"/>
            </c:ext>
          </c:extLst>
        </c:ser>
        <c:ser>
          <c:idx val="1"/>
          <c:order val="1"/>
          <c:tx>
            <c:v>Low2 run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Tables!$K$85:$K$89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Tables!$J$85:$J$89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A0-4E94-B840-8BC23A2B3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83040"/>
        <c:axId val="264074400"/>
      </c:lineChart>
      <c:catAx>
        <c:axId val="2640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74400"/>
        <c:crosses val="autoZero"/>
        <c:auto val="1"/>
        <c:lblAlgn val="ctr"/>
        <c:lblOffset val="100"/>
        <c:noMultiLvlLbl val="0"/>
      </c:catAx>
      <c:valAx>
        <c:axId val="264074400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4453937007874015"/>
          <c:y val="0.16708333333333336"/>
          <c:w val="0.82490507436570426"/>
          <c:h val="0.62308654126567509"/>
        </c:manualLayout>
      </c:layout>
      <c:lineChart>
        <c:grouping val="stacked"/>
        <c:varyColors val="0"/>
        <c:ser>
          <c:idx val="0"/>
          <c:order val="0"/>
          <c:tx>
            <c:v>Low1 run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Tables!$E$85:$E$89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Tables!$D$85:$D$89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2-440A-B4D5-E6BEEB1961EB}"/>
            </c:ext>
          </c:extLst>
        </c:ser>
        <c:ser>
          <c:idx val="1"/>
          <c:order val="1"/>
          <c:tx>
            <c:v>Low2 run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Tables!$M$85:$M$89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Tables!$L$85:$L$89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E-4268-8646-34E2E01C7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83040"/>
        <c:axId val="264074400"/>
      </c:lineChart>
      <c:catAx>
        <c:axId val="2640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74400"/>
        <c:crosses val="autoZero"/>
        <c:auto val="1"/>
        <c:lblAlgn val="ctr"/>
        <c:lblOffset val="100"/>
        <c:noMultiLvlLbl val="0"/>
      </c:catAx>
      <c:valAx>
        <c:axId val="26407440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0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Vlow1 (Low1 run)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Tables!$G$85:$G$89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Tables!$F$85:$F$89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65-41CF-8446-273F16263DBC}"/>
            </c:ext>
          </c:extLst>
        </c:ser>
        <c:ser>
          <c:idx val="1"/>
          <c:order val="1"/>
          <c:tx>
            <c:v>Vlow2 (Low2 run)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Tables!$O$85:$O$89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Tables!$N$85:$N$89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65-41CF-8446-273F16263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00256"/>
        <c:axId val="798592576"/>
      </c:scatterChart>
      <c:valAx>
        <c:axId val="798600256"/>
        <c:scaling>
          <c:orientation val="minMax"/>
          <c:min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592576"/>
        <c:crosses val="autoZero"/>
        <c:crossBetween val="midCat"/>
      </c:valAx>
      <c:valAx>
        <c:axId val="79859257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60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Ilow1 (Low1 run)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Tables!$I$85:$I$89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Tables!$H$85:$H$89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DC-467B-A08C-811804F5A76A}"/>
            </c:ext>
          </c:extLst>
        </c:ser>
        <c:ser>
          <c:idx val="1"/>
          <c:order val="1"/>
          <c:tx>
            <c:v>Ilow2 (Low2 run)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Tables!$Q$85:$Q$89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Tables!$P$85:$P$89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DC-467B-A08C-811804F5A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600256"/>
        <c:axId val="798592576"/>
      </c:scatterChart>
      <c:valAx>
        <c:axId val="79860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592576"/>
        <c:crosses val="autoZero"/>
        <c:crossBetween val="midCat"/>
      </c:valAx>
      <c:valAx>
        <c:axId val="798592576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60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6</xdr:col>
      <xdr:colOff>609600</xdr:colOff>
      <xdr:row>16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7AEF40B-0B51-4816-B61E-2809198521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6112</xdr:colOff>
      <xdr:row>15</xdr:row>
      <xdr:rowOff>179781</xdr:rowOff>
    </xdr:from>
    <xdr:to>
      <xdr:col>6</xdr:col>
      <xdr:colOff>618727</xdr:colOff>
      <xdr:row>30</xdr:row>
      <xdr:rowOff>179782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3EE9B22-870B-4215-AD70-BA756B49A9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15</xdr:col>
      <xdr:colOff>609600</xdr:colOff>
      <xdr:row>16</xdr:row>
      <xdr:rowOff>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EB9F745-09C8-47B2-8817-B39367C9E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15</xdr:row>
      <xdr:rowOff>167472</xdr:rowOff>
    </xdr:from>
    <xdr:to>
      <xdr:col>15</xdr:col>
      <xdr:colOff>609600</xdr:colOff>
      <xdr:row>30</xdr:row>
      <xdr:rowOff>167473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8160BE21-7936-493F-AB9A-EEBDFF1141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4</xdr:col>
      <xdr:colOff>660490</xdr:colOff>
      <xdr:row>1</xdr:row>
      <xdr:rowOff>28222</xdr:rowOff>
    </xdr:from>
    <xdr:ext cx="1257780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A74A6B74-BBA8-45C6-B126-720F77160F97}"/>
                </a:ext>
              </a:extLst>
            </xdr:cNvPr>
            <xdr:cNvSpPr txBox="1"/>
          </xdr:nvSpPr>
          <xdr:spPr>
            <a:xfrm>
              <a:off x="3219305" y="206963"/>
              <a:ext cx="125778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A74A6B74-BBA8-45C6-B126-720F77160F97}"/>
                </a:ext>
              </a:extLst>
            </xdr:cNvPr>
            <xdr:cNvSpPr txBox="1"/>
          </xdr:nvSpPr>
          <xdr:spPr>
            <a:xfrm>
              <a:off x="3219305" y="206963"/>
              <a:ext cx="125778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𝑦=𝐴_ℎ𝑖𝑔ℎ  𝑥+𝐵_ℎ𝑖𝑔ℎ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4</xdr:col>
      <xdr:colOff>658518</xdr:colOff>
      <xdr:row>16</xdr:row>
      <xdr:rowOff>20861</xdr:rowOff>
    </xdr:from>
    <xdr:ext cx="1247393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A0A60CCD-AF50-4791-A501-C27D20199648}"/>
                </a:ext>
              </a:extLst>
            </xdr:cNvPr>
            <xdr:cNvSpPr txBox="1"/>
          </xdr:nvSpPr>
          <xdr:spPr>
            <a:xfrm>
              <a:off x="3217333" y="2880713"/>
              <a:ext cx="1247393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A0A60CCD-AF50-4791-A501-C27D20199648}"/>
                </a:ext>
              </a:extLst>
            </xdr:cNvPr>
            <xdr:cNvSpPr txBox="1"/>
          </xdr:nvSpPr>
          <xdr:spPr>
            <a:xfrm>
              <a:off x="3217333" y="2880713"/>
              <a:ext cx="1247393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𝑦=𝐶_ℎ𝑖𝑔ℎ  𝑥+𝐷_ℎ𝑖𝑔ℎ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728061</xdr:colOff>
      <xdr:row>1</xdr:row>
      <xdr:rowOff>33838</xdr:rowOff>
    </xdr:from>
    <xdr:ext cx="138185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83C19C00-D855-46D3-90F2-CCA191A14A79}"/>
                </a:ext>
              </a:extLst>
            </xdr:cNvPr>
            <xdr:cNvSpPr txBox="1"/>
          </xdr:nvSpPr>
          <xdr:spPr>
            <a:xfrm>
              <a:off x="9975542" y="212579"/>
              <a:ext cx="13818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83C19C00-D855-46D3-90F2-CCA191A14A79}"/>
                </a:ext>
              </a:extLst>
            </xdr:cNvPr>
            <xdr:cNvSpPr txBox="1"/>
          </xdr:nvSpPr>
          <xdr:spPr>
            <a:xfrm>
              <a:off x="9975542" y="212579"/>
              <a:ext cx="13818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𝑦_1=𝐴_𝑙𝑜𝑤1   𝑥_1+𝐵_𝑙𝑜𝑤1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729735</xdr:colOff>
      <xdr:row>2</xdr:row>
      <xdr:rowOff>10947</xdr:rowOff>
    </xdr:from>
    <xdr:ext cx="138839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6881CF9E-F222-4625-9867-464AC4101E4A}"/>
                </a:ext>
              </a:extLst>
            </xdr:cNvPr>
            <xdr:cNvSpPr txBox="1"/>
          </xdr:nvSpPr>
          <xdr:spPr>
            <a:xfrm>
              <a:off x="9977216" y="368428"/>
              <a:ext cx="13883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6881CF9E-F222-4625-9867-464AC4101E4A}"/>
                </a:ext>
              </a:extLst>
            </xdr:cNvPr>
            <xdr:cNvSpPr txBox="1"/>
          </xdr:nvSpPr>
          <xdr:spPr>
            <a:xfrm>
              <a:off x="9977216" y="368428"/>
              <a:ext cx="13883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𝑦_2=𝐴_𝑙𝑜𝑤2   𝑥_2+𝐵_𝑙𝑜𝑤2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746483</xdr:colOff>
      <xdr:row>15</xdr:row>
      <xdr:rowOff>162167</xdr:rowOff>
    </xdr:from>
    <xdr:ext cx="140249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FD3A9E91-DA96-4236-B4F1-A543ADB0C91E}"/>
                </a:ext>
              </a:extLst>
            </xdr:cNvPr>
            <xdr:cNvSpPr txBox="1"/>
          </xdr:nvSpPr>
          <xdr:spPr>
            <a:xfrm>
              <a:off x="9993964" y="2843278"/>
              <a:ext cx="1402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FD3A9E91-DA96-4236-B4F1-A543ADB0C91E}"/>
                </a:ext>
              </a:extLst>
            </xdr:cNvPr>
            <xdr:cNvSpPr txBox="1"/>
          </xdr:nvSpPr>
          <xdr:spPr>
            <a:xfrm>
              <a:off x="9993964" y="2843278"/>
              <a:ext cx="1402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𝑦_1=𝐶_𝑙𝑜𝑤1    𝑥_1+𝐷_𝑙𝑜𝑤1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739784</xdr:colOff>
      <xdr:row>16</xdr:row>
      <xdr:rowOff>139274</xdr:rowOff>
    </xdr:from>
    <xdr:ext cx="1533176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269CE337-3E38-431A-8A04-D52DDA0C4B84}"/>
                </a:ext>
              </a:extLst>
            </xdr:cNvPr>
            <xdr:cNvSpPr txBox="1"/>
          </xdr:nvSpPr>
          <xdr:spPr>
            <a:xfrm>
              <a:off x="9987265" y="2999126"/>
              <a:ext cx="15331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269CE337-3E38-431A-8A04-D52DDA0C4B84}"/>
                </a:ext>
              </a:extLst>
            </xdr:cNvPr>
            <xdr:cNvSpPr txBox="1"/>
          </xdr:nvSpPr>
          <xdr:spPr>
            <a:xfrm>
              <a:off x="9987265" y="2999126"/>
              <a:ext cx="15331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𝑦_2=𝐶_𝑙𝑜𝑤2    𝑥_2+𝐷_𝑙𝑜𝑤2   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6</xdr:col>
      <xdr:colOff>609600</xdr:colOff>
      <xdr:row>16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7A1C956-D9A9-471D-91D5-9A927A521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6112</xdr:colOff>
      <xdr:row>15</xdr:row>
      <xdr:rowOff>179781</xdr:rowOff>
    </xdr:from>
    <xdr:to>
      <xdr:col>6</xdr:col>
      <xdr:colOff>618727</xdr:colOff>
      <xdr:row>30</xdr:row>
      <xdr:rowOff>179782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C65D157-0A18-4D40-94EC-14C54CA79A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15</xdr:col>
      <xdr:colOff>609600</xdr:colOff>
      <xdr:row>16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15BBFBE-0B8B-4650-8B7A-EACD1B149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15</xdr:row>
      <xdr:rowOff>167472</xdr:rowOff>
    </xdr:from>
    <xdr:to>
      <xdr:col>15</xdr:col>
      <xdr:colOff>609600</xdr:colOff>
      <xdr:row>30</xdr:row>
      <xdr:rowOff>167473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6EBD087-68EB-4B0D-9F68-8F5D574FC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5</xdr:col>
      <xdr:colOff>208161</xdr:colOff>
      <xdr:row>1</xdr:row>
      <xdr:rowOff>62753</xdr:rowOff>
    </xdr:from>
    <xdr:ext cx="1257780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ABA73C26-C7BC-4AB5-8912-D63FED390603}"/>
                </a:ext>
              </a:extLst>
            </xdr:cNvPr>
            <xdr:cNvSpPr txBox="1"/>
          </xdr:nvSpPr>
          <xdr:spPr>
            <a:xfrm>
              <a:off x="4152632" y="242047"/>
              <a:ext cx="125778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ABA73C26-C7BC-4AB5-8912-D63FED390603}"/>
                </a:ext>
              </a:extLst>
            </xdr:cNvPr>
            <xdr:cNvSpPr txBox="1"/>
          </xdr:nvSpPr>
          <xdr:spPr>
            <a:xfrm>
              <a:off x="4152632" y="242047"/>
              <a:ext cx="125778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𝑦=𝐴_ℎ𝑖𝑔ℎ  𝑥+𝐵_ℎ𝑖𝑔ℎ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206189</xdr:colOff>
      <xdr:row>16</xdr:row>
      <xdr:rowOff>47091</xdr:rowOff>
    </xdr:from>
    <xdr:ext cx="1247393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77850864-D0A6-44B1-A26C-7DEA045C3049}"/>
                </a:ext>
              </a:extLst>
            </xdr:cNvPr>
            <xdr:cNvSpPr txBox="1"/>
          </xdr:nvSpPr>
          <xdr:spPr>
            <a:xfrm>
              <a:off x="4150660" y="2915797"/>
              <a:ext cx="1247393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77850864-D0A6-44B1-A26C-7DEA045C3049}"/>
                </a:ext>
              </a:extLst>
            </xdr:cNvPr>
            <xdr:cNvSpPr txBox="1"/>
          </xdr:nvSpPr>
          <xdr:spPr>
            <a:xfrm>
              <a:off x="4150660" y="2915797"/>
              <a:ext cx="1247393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𝑦=𝐶_ℎ𝑖𝑔ℎ  𝑥+𝐷_ℎ𝑖𝑔ℎ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653245</xdr:colOff>
      <xdr:row>1</xdr:row>
      <xdr:rowOff>68369</xdr:rowOff>
    </xdr:from>
    <xdr:ext cx="138185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445F71F4-040E-4B29-82FA-240A5BCBC904}"/>
                </a:ext>
              </a:extLst>
            </xdr:cNvPr>
            <xdr:cNvSpPr txBox="1"/>
          </xdr:nvSpPr>
          <xdr:spPr>
            <a:xfrm>
              <a:off x="10908869" y="247663"/>
              <a:ext cx="13818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445F71F4-040E-4B29-82FA-240A5BCBC904}"/>
                </a:ext>
              </a:extLst>
            </xdr:cNvPr>
            <xdr:cNvSpPr txBox="1"/>
          </xdr:nvSpPr>
          <xdr:spPr>
            <a:xfrm>
              <a:off x="10908869" y="247663"/>
              <a:ext cx="13818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𝑦_1=𝐴_𝑙𝑜𝑤1   𝑥_1+𝐵_𝑙𝑜𝑤1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654919</xdr:colOff>
      <xdr:row>2</xdr:row>
      <xdr:rowOff>44924</xdr:rowOff>
    </xdr:from>
    <xdr:ext cx="138839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3289B480-CFE0-4A9C-94D6-12C78FB1DD40}"/>
                </a:ext>
              </a:extLst>
            </xdr:cNvPr>
            <xdr:cNvSpPr txBox="1"/>
          </xdr:nvSpPr>
          <xdr:spPr>
            <a:xfrm>
              <a:off x="10910543" y="403512"/>
              <a:ext cx="13883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3289B480-CFE0-4A9C-94D6-12C78FB1DD40}"/>
                </a:ext>
              </a:extLst>
            </xdr:cNvPr>
            <xdr:cNvSpPr txBox="1"/>
          </xdr:nvSpPr>
          <xdr:spPr>
            <a:xfrm>
              <a:off x="10910543" y="403512"/>
              <a:ext cx="13883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𝑦_2=𝐴_𝑙𝑜𝑤2   𝑥_2+𝐵_𝑙𝑜𝑤2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671667</xdr:colOff>
      <xdr:row>16</xdr:row>
      <xdr:rowOff>9656</xdr:rowOff>
    </xdr:from>
    <xdr:ext cx="140249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53DFC16E-B177-41F9-801A-D57E09159BC5}"/>
                </a:ext>
              </a:extLst>
            </xdr:cNvPr>
            <xdr:cNvSpPr txBox="1"/>
          </xdr:nvSpPr>
          <xdr:spPr>
            <a:xfrm>
              <a:off x="10927291" y="2878362"/>
              <a:ext cx="1402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53DFC16E-B177-41F9-801A-D57E09159BC5}"/>
                </a:ext>
              </a:extLst>
            </xdr:cNvPr>
            <xdr:cNvSpPr txBox="1"/>
          </xdr:nvSpPr>
          <xdr:spPr>
            <a:xfrm>
              <a:off x="10927291" y="2878362"/>
              <a:ext cx="1402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𝑦_1=𝐶_𝑙𝑜𝑤1    𝑥_1+𝐷_𝑙𝑜𝑤1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664968</xdr:colOff>
      <xdr:row>16</xdr:row>
      <xdr:rowOff>165504</xdr:rowOff>
    </xdr:from>
    <xdr:ext cx="1533176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914BD7AD-5330-446E-AE58-122A86E6EC1B}"/>
                </a:ext>
              </a:extLst>
            </xdr:cNvPr>
            <xdr:cNvSpPr txBox="1"/>
          </xdr:nvSpPr>
          <xdr:spPr>
            <a:xfrm>
              <a:off x="10920592" y="3034210"/>
              <a:ext cx="15331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914BD7AD-5330-446E-AE58-122A86E6EC1B}"/>
                </a:ext>
              </a:extLst>
            </xdr:cNvPr>
            <xdr:cNvSpPr txBox="1"/>
          </xdr:nvSpPr>
          <xdr:spPr>
            <a:xfrm>
              <a:off x="10920592" y="3034210"/>
              <a:ext cx="15331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𝑦_2=𝐶_𝑙𝑜𝑤2    𝑥_2+𝐷_𝑙𝑜𝑤2   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6</xdr:col>
      <xdr:colOff>609600</xdr:colOff>
      <xdr:row>16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F3E9895-6528-427E-BE22-FA2E94F31B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6112</xdr:colOff>
      <xdr:row>15</xdr:row>
      <xdr:rowOff>179781</xdr:rowOff>
    </xdr:from>
    <xdr:to>
      <xdr:col>6</xdr:col>
      <xdr:colOff>618727</xdr:colOff>
      <xdr:row>30</xdr:row>
      <xdr:rowOff>179782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6582490-DA76-4534-A744-15E9EEC83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15</xdr:col>
      <xdr:colOff>609600</xdr:colOff>
      <xdr:row>16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EA98410-8A1B-4A8A-B603-0F0D2C04B2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15</xdr:row>
      <xdr:rowOff>167472</xdr:rowOff>
    </xdr:from>
    <xdr:to>
      <xdr:col>15</xdr:col>
      <xdr:colOff>609600</xdr:colOff>
      <xdr:row>30</xdr:row>
      <xdr:rowOff>167473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F6E8C76-29CE-422C-B712-40C93E6BE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5</xdr:col>
      <xdr:colOff>244019</xdr:colOff>
      <xdr:row>1</xdr:row>
      <xdr:rowOff>62753</xdr:rowOff>
    </xdr:from>
    <xdr:ext cx="1257780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B659937B-6DEB-4FF1-A808-8DEE3F1BF13D}"/>
                </a:ext>
              </a:extLst>
            </xdr:cNvPr>
            <xdr:cNvSpPr txBox="1"/>
          </xdr:nvSpPr>
          <xdr:spPr>
            <a:xfrm>
              <a:off x="4188490" y="242047"/>
              <a:ext cx="125778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B659937B-6DEB-4FF1-A808-8DEE3F1BF13D}"/>
                </a:ext>
              </a:extLst>
            </xdr:cNvPr>
            <xdr:cNvSpPr txBox="1"/>
          </xdr:nvSpPr>
          <xdr:spPr>
            <a:xfrm>
              <a:off x="4188490" y="242047"/>
              <a:ext cx="125778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𝑦=𝐴_ℎ𝑖𝑔ℎ  𝑥+𝐵_ℎ𝑖𝑔ℎ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242047</xdr:colOff>
      <xdr:row>16</xdr:row>
      <xdr:rowOff>47091</xdr:rowOff>
    </xdr:from>
    <xdr:ext cx="1247393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086A2F1F-BA5F-480E-8D3B-6E1545270E9F}"/>
                </a:ext>
              </a:extLst>
            </xdr:cNvPr>
            <xdr:cNvSpPr txBox="1"/>
          </xdr:nvSpPr>
          <xdr:spPr>
            <a:xfrm>
              <a:off x="4186518" y="2915797"/>
              <a:ext cx="1247393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086A2F1F-BA5F-480E-8D3B-6E1545270E9F}"/>
                </a:ext>
              </a:extLst>
            </xdr:cNvPr>
            <xdr:cNvSpPr txBox="1"/>
          </xdr:nvSpPr>
          <xdr:spPr>
            <a:xfrm>
              <a:off x="4186518" y="2915797"/>
              <a:ext cx="1247393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𝑦=𝐶_ℎ𝑖𝑔ℎ  𝑥+𝐷_ℎ𝑖𝑔ℎ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689103</xdr:colOff>
      <xdr:row>1</xdr:row>
      <xdr:rowOff>68369</xdr:rowOff>
    </xdr:from>
    <xdr:ext cx="138185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A330F931-3155-4C27-A094-7D009B85AAA1}"/>
                </a:ext>
              </a:extLst>
            </xdr:cNvPr>
            <xdr:cNvSpPr txBox="1"/>
          </xdr:nvSpPr>
          <xdr:spPr>
            <a:xfrm>
              <a:off x="10944727" y="247663"/>
              <a:ext cx="13818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A330F931-3155-4C27-A094-7D009B85AAA1}"/>
                </a:ext>
              </a:extLst>
            </xdr:cNvPr>
            <xdr:cNvSpPr txBox="1"/>
          </xdr:nvSpPr>
          <xdr:spPr>
            <a:xfrm>
              <a:off x="10944727" y="247663"/>
              <a:ext cx="13818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𝑦_1=𝐴_𝑙𝑜𝑤1   𝑥_1+𝐵_𝑙𝑜𝑤1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690777</xdr:colOff>
      <xdr:row>2</xdr:row>
      <xdr:rowOff>44924</xdr:rowOff>
    </xdr:from>
    <xdr:ext cx="138839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870D5EBB-A00A-455D-81E8-55371688326F}"/>
                </a:ext>
              </a:extLst>
            </xdr:cNvPr>
            <xdr:cNvSpPr txBox="1"/>
          </xdr:nvSpPr>
          <xdr:spPr>
            <a:xfrm>
              <a:off x="10946401" y="403512"/>
              <a:ext cx="13883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870D5EBB-A00A-455D-81E8-55371688326F}"/>
                </a:ext>
              </a:extLst>
            </xdr:cNvPr>
            <xdr:cNvSpPr txBox="1"/>
          </xdr:nvSpPr>
          <xdr:spPr>
            <a:xfrm>
              <a:off x="10946401" y="403512"/>
              <a:ext cx="13883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𝑦_2=𝐴_𝑙𝑜𝑤2   𝑥_2+𝐵_𝑙𝑜𝑤2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707525</xdr:colOff>
      <xdr:row>16</xdr:row>
      <xdr:rowOff>9656</xdr:rowOff>
    </xdr:from>
    <xdr:ext cx="140249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6E494A83-98AE-433E-9C12-25F7C39C853D}"/>
                </a:ext>
              </a:extLst>
            </xdr:cNvPr>
            <xdr:cNvSpPr txBox="1"/>
          </xdr:nvSpPr>
          <xdr:spPr>
            <a:xfrm>
              <a:off x="10963149" y="2878362"/>
              <a:ext cx="1402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6E494A83-98AE-433E-9C12-25F7C39C853D}"/>
                </a:ext>
              </a:extLst>
            </xdr:cNvPr>
            <xdr:cNvSpPr txBox="1"/>
          </xdr:nvSpPr>
          <xdr:spPr>
            <a:xfrm>
              <a:off x="10963149" y="2878362"/>
              <a:ext cx="1402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𝑦_1=𝐶_𝑙𝑜𝑤1    𝑥_1+𝐷_𝑙𝑜𝑤1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700826</xdr:colOff>
      <xdr:row>16</xdr:row>
      <xdr:rowOff>165504</xdr:rowOff>
    </xdr:from>
    <xdr:ext cx="1533176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9FBBC700-F765-4294-AB05-69F25BD5FBB4}"/>
                </a:ext>
              </a:extLst>
            </xdr:cNvPr>
            <xdr:cNvSpPr txBox="1"/>
          </xdr:nvSpPr>
          <xdr:spPr>
            <a:xfrm>
              <a:off x="10956450" y="3034210"/>
              <a:ext cx="15331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9FBBC700-F765-4294-AB05-69F25BD5FBB4}"/>
                </a:ext>
              </a:extLst>
            </xdr:cNvPr>
            <xdr:cNvSpPr txBox="1"/>
          </xdr:nvSpPr>
          <xdr:spPr>
            <a:xfrm>
              <a:off x="10956450" y="3034210"/>
              <a:ext cx="15331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𝑦_2=𝐶_𝑙𝑜𝑤2    𝑥_2+𝐷_𝑙𝑜𝑤2   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6</xdr:col>
      <xdr:colOff>609600</xdr:colOff>
      <xdr:row>16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FBDD1E2-7CFC-4B35-9778-D3C6AB1F2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708212</xdr:colOff>
      <xdr:row>1</xdr:row>
      <xdr:rowOff>26894</xdr:rowOff>
    </xdr:from>
    <xdr:to>
      <xdr:col>15</xdr:col>
      <xdr:colOff>528918</xdr:colOff>
      <xdr:row>16</xdr:row>
      <xdr:rowOff>26894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1636AB1-E5F1-4775-9E0E-5E23804C2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15</xdr:row>
      <xdr:rowOff>167472</xdr:rowOff>
    </xdr:from>
    <xdr:to>
      <xdr:col>15</xdr:col>
      <xdr:colOff>609600</xdr:colOff>
      <xdr:row>30</xdr:row>
      <xdr:rowOff>167473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8255624-DDE2-4DC4-927A-E1659FED3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6</xdr:col>
      <xdr:colOff>612615</xdr:colOff>
      <xdr:row>31</xdr:row>
      <xdr:rowOff>1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385B308A-7544-4178-AD06-475751AFF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5</xdr:col>
      <xdr:colOff>154372</xdr:colOff>
      <xdr:row>1</xdr:row>
      <xdr:rowOff>80682</xdr:rowOff>
    </xdr:from>
    <xdr:ext cx="1257780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39BAA186-A8E6-43FE-9214-63096ACB58DE}"/>
                </a:ext>
              </a:extLst>
            </xdr:cNvPr>
            <xdr:cNvSpPr txBox="1"/>
          </xdr:nvSpPr>
          <xdr:spPr>
            <a:xfrm>
              <a:off x="4098843" y="259976"/>
              <a:ext cx="125778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39BAA186-A8E6-43FE-9214-63096ACB58DE}"/>
                </a:ext>
              </a:extLst>
            </xdr:cNvPr>
            <xdr:cNvSpPr txBox="1"/>
          </xdr:nvSpPr>
          <xdr:spPr>
            <a:xfrm>
              <a:off x="4098843" y="259976"/>
              <a:ext cx="125778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𝑦=𝐴_ℎ𝑖𝑔ℎ  𝑥+𝐵_ℎ𝑖𝑔ℎ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152400</xdr:colOff>
      <xdr:row>16</xdr:row>
      <xdr:rowOff>65020</xdr:rowOff>
    </xdr:from>
    <xdr:ext cx="1247393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47B7C88E-2D66-4BAF-BAD0-4E2D36639610}"/>
                </a:ext>
              </a:extLst>
            </xdr:cNvPr>
            <xdr:cNvSpPr txBox="1"/>
          </xdr:nvSpPr>
          <xdr:spPr>
            <a:xfrm>
              <a:off x="4096871" y="2933726"/>
              <a:ext cx="1247393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47B7C88E-2D66-4BAF-BAD0-4E2D36639610}"/>
                </a:ext>
              </a:extLst>
            </xdr:cNvPr>
            <xdr:cNvSpPr txBox="1"/>
          </xdr:nvSpPr>
          <xdr:spPr>
            <a:xfrm>
              <a:off x="4096871" y="2933726"/>
              <a:ext cx="1247393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𝑦=𝐶_ℎ𝑖𝑔ℎ  𝑥+𝐷_ℎ𝑖𝑔ℎ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599456</xdr:colOff>
      <xdr:row>1</xdr:row>
      <xdr:rowOff>86298</xdr:rowOff>
    </xdr:from>
    <xdr:ext cx="138185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DA5AA383-2800-4DA6-B406-F146B1126172}"/>
                </a:ext>
              </a:extLst>
            </xdr:cNvPr>
            <xdr:cNvSpPr txBox="1"/>
          </xdr:nvSpPr>
          <xdr:spPr>
            <a:xfrm>
              <a:off x="10855080" y="265592"/>
              <a:ext cx="13818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DA5AA383-2800-4DA6-B406-F146B1126172}"/>
                </a:ext>
              </a:extLst>
            </xdr:cNvPr>
            <xdr:cNvSpPr txBox="1"/>
          </xdr:nvSpPr>
          <xdr:spPr>
            <a:xfrm>
              <a:off x="10855080" y="265592"/>
              <a:ext cx="13818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𝑦_1=𝐴_𝑙𝑜𝑤1   𝑥_1+𝐵_𝑙𝑜𝑤1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601130</xdr:colOff>
      <xdr:row>2</xdr:row>
      <xdr:rowOff>62853</xdr:rowOff>
    </xdr:from>
    <xdr:ext cx="138839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8A675491-4827-4511-A77F-C99D6C08C97C}"/>
                </a:ext>
              </a:extLst>
            </xdr:cNvPr>
            <xdr:cNvSpPr txBox="1"/>
          </xdr:nvSpPr>
          <xdr:spPr>
            <a:xfrm>
              <a:off x="10856754" y="421441"/>
              <a:ext cx="13883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8A675491-4827-4511-A77F-C99D6C08C97C}"/>
                </a:ext>
              </a:extLst>
            </xdr:cNvPr>
            <xdr:cNvSpPr txBox="1"/>
          </xdr:nvSpPr>
          <xdr:spPr>
            <a:xfrm>
              <a:off x="10856754" y="421441"/>
              <a:ext cx="13883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𝑦_2=𝐴_𝑙𝑜𝑤2   𝑥_2+𝐵_𝑙𝑜𝑤2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617878</xdr:colOff>
      <xdr:row>16</xdr:row>
      <xdr:rowOff>27585</xdr:rowOff>
    </xdr:from>
    <xdr:ext cx="140249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99D8C113-B2A7-4CD3-87C6-C75BA73B89AB}"/>
                </a:ext>
              </a:extLst>
            </xdr:cNvPr>
            <xdr:cNvSpPr txBox="1"/>
          </xdr:nvSpPr>
          <xdr:spPr>
            <a:xfrm>
              <a:off x="10873502" y="2896291"/>
              <a:ext cx="1402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99D8C113-B2A7-4CD3-87C6-C75BA73B89AB}"/>
                </a:ext>
              </a:extLst>
            </xdr:cNvPr>
            <xdr:cNvSpPr txBox="1"/>
          </xdr:nvSpPr>
          <xdr:spPr>
            <a:xfrm>
              <a:off x="10873502" y="2896291"/>
              <a:ext cx="1402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𝑦_1=𝐶_𝑙𝑜𝑤1    𝑥_1+𝐷_𝑙𝑜𝑤1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611179</xdr:colOff>
      <xdr:row>17</xdr:row>
      <xdr:rowOff>4139</xdr:rowOff>
    </xdr:from>
    <xdr:ext cx="1533176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C6056160-4E1D-43FD-AFF1-2ED80AB49B05}"/>
                </a:ext>
              </a:extLst>
            </xdr:cNvPr>
            <xdr:cNvSpPr txBox="1"/>
          </xdr:nvSpPr>
          <xdr:spPr>
            <a:xfrm>
              <a:off x="10866803" y="3052139"/>
              <a:ext cx="15331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C6056160-4E1D-43FD-AFF1-2ED80AB49B05}"/>
                </a:ext>
              </a:extLst>
            </xdr:cNvPr>
            <xdr:cNvSpPr txBox="1"/>
          </xdr:nvSpPr>
          <xdr:spPr>
            <a:xfrm>
              <a:off x="10866803" y="3052139"/>
              <a:ext cx="15331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𝑦_2=𝐶_𝑙𝑜𝑤2    𝑥_2+𝐷_𝑙𝑜𝑤2   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6</xdr:col>
      <xdr:colOff>609600</xdr:colOff>
      <xdr:row>16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5168FEF-9311-4792-852F-B42A1C6D9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6112</xdr:colOff>
      <xdr:row>15</xdr:row>
      <xdr:rowOff>179781</xdr:rowOff>
    </xdr:from>
    <xdr:to>
      <xdr:col>6</xdr:col>
      <xdr:colOff>618727</xdr:colOff>
      <xdr:row>30</xdr:row>
      <xdr:rowOff>179782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C851953-3723-49CC-9CDE-73C46EBF4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15</xdr:col>
      <xdr:colOff>609600</xdr:colOff>
      <xdr:row>16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E5A2F0A-6218-44D4-ABF0-1F7540FB3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15</xdr:row>
      <xdr:rowOff>167472</xdr:rowOff>
    </xdr:from>
    <xdr:to>
      <xdr:col>15</xdr:col>
      <xdr:colOff>609600</xdr:colOff>
      <xdr:row>30</xdr:row>
      <xdr:rowOff>167473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9C7DE6F-FC50-46E8-87A7-6D105C539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5</xdr:col>
      <xdr:colOff>91619</xdr:colOff>
      <xdr:row>1</xdr:row>
      <xdr:rowOff>152400</xdr:rowOff>
    </xdr:from>
    <xdr:ext cx="1257780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EF2FF965-D46B-43F5-9CFC-4284B8808EA2}"/>
                </a:ext>
              </a:extLst>
            </xdr:cNvPr>
            <xdr:cNvSpPr txBox="1"/>
          </xdr:nvSpPr>
          <xdr:spPr>
            <a:xfrm>
              <a:off x="4036090" y="331694"/>
              <a:ext cx="125778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EF2FF965-D46B-43F5-9CFC-4284B8808EA2}"/>
                </a:ext>
              </a:extLst>
            </xdr:cNvPr>
            <xdr:cNvSpPr txBox="1"/>
          </xdr:nvSpPr>
          <xdr:spPr>
            <a:xfrm>
              <a:off x="4036090" y="331694"/>
              <a:ext cx="125778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𝑦=𝐴_ℎ𝑖𝑔ℎ  𝑥+𝐵_ℎ𝑖𝑔ℎ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89647</xdr:colOff>
      <xdr:row>16</xdr:row>
      <xdr:rowOff>136738</xdr:rowOff>
    </xdr:from>
    <xdr:ext cx="1247393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2ECC04CD-A73B-42EC-B650-9E350252F18F}"/>
                </a:ext>
              </a:extLst>
            </xdr:cNvPr>
            <xdr:cNvSpPr txBox="1"/>
          </xdr:nvSpPr>
          <xdr:spPr>
            <a:xfrm>
              <a:off x="4034118" y="3005444"/>
              <a:ext cx="1247393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2ECC04CD-A73B-42EC-B650-9E350252F18F}"/>
                </a:ext>
              </a:extLst>
            </xdr:cNvPr>
            <xdr:cNvSpPr txBox="1"/>
          </xdr:nvSpPr>
          <xdr:spPr>
            <a:xfrm>
              <a:off x="4034118" y="3005444"/>
              <a:ext cx="1247393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𝑦=𝐶_ℎ𝑖𝑔ℎ  𝑥+𝐷_ℎ𝑖𝑔ℎ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536703</xdr:colOff>
      <xdr:row>1</xdr:row>
      <xdr:rowOff>158016</xdr:rowOff>
    </xdr:from>
    <xdr:ext cx="138185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29387A81-D9C7-4D94-8097-692A10165E26}"/>
                </a:ext>
              </a:extLst>
            </xdr:cNvPr>
            <xdr:cNvSpPr txBox="1"/>
          </xdr:nvSpPr>
          <xdr:spPr>
            <a:xfrm>
              <a:off x="10792327" y="337310"/>
              <a:ext cx="13818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29387A81-D9C7-4D94-8097-692A10165E26}"/>
                </a:ext>
              </a:extLst>
            </xdr:cNvPr>
            <xdr:cNvSpPr txBox="1"/>
          </xdr:nvSpPr>
          <xdr:spPr>
            <a:xfrm>
              <a:off x="10792327" y="337310"/>
              <a:ext cx="13818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𝑦_1=𝐴_𝑙𝑜𝑤1   𝑥_1+𝐵_𝑙𝑜𝑤1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538377</xdr:colOff>
      <xdr:row>2</xdr:row>
      <xdr:rowOff>134571</xdr:rowOff>
    </xdr:from>
    <xdr:ext cx="138839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AFBF6A8A-7B07-4E69-BB92-3C8B604A93D1}"/>
                </a:ext>
              </a:extLst>
            </xdr:cNvPr>
            <xdr:cNvSpPr txBox="1"/>
          </xdr:nvSpPr>
          <xdr:spPr>
            <a:xfrm>
              <a:off x="10794001" y="493159"/>
              <a:ext cx="13883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AFBF6A8A-7B07-4E69-BB92-3C8B604A93D1}"/>
                </a:ext>
              </a:extLst>
            </xdr:cNvPr>
            <xdr:cNvSpPr txBox="1"/>
          </xdr:nvSpPr>
          <xdr:spPr>
            <a:xfrm>
              <a:off x="10794001" y="493159"/>
              <a:ext cx="13883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𝑦_2=𝐴_𝑙𝑜𝑤2   𝑥_2+𝐵_𝑙𝑜𝑤2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555125</xdr:colOff>
      <xdr:row>16</xdr:row>
      <xdr:rowOff>99303</xdr:rowOff>
    </xdr:from>
    <xdr:ext cx="140249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E32F0C9B-3B1C-429F-97D6-23D3B7F0A807}"/>
                </a:ext>
              </a:extLst>
            </xdr:cNvPr>
            <xdr:cNvSpPr txBox="1"/>
          </xdr:nvSpPr>
          <xdr:spPr>
            <a:xfrm>
              <a:off x="10810749" y="2968009"/>
              <a:ext cx="1402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E32F0C9B-3B1C-429F-97D6-23D3B7F0A807}"/>
                </a:ext>
              </a:extLst>
            </xdr:cNvPr>
            <xdr:cNvSpPr txBox="1"/>
          </xdr:nvSpPr>
          <xdr:spPr>
            <a:xfrm>
              <a:off x="10810749" y="2968009"/>
              <a:ext cx="1402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𝑦_1=𝐶_𝑙𝑜𝑤1    𝑥_1+𝐷_𝑙𝑜𝑤1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548426</xdr:colOff>
      <xdr:row>17</xdr:row>
      <xdr:rowOff>75857</xdr:rowOff>
    </xdr:from>
    <xdr:ext cx="1533176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E5C72124-33BC-4654-AD4B-BA1349C82453}"/>
                </a:ext>
              </a:extLst>
            </xdr:cNvPr>
            <xdr:cNvSpPr txBox="1"/>
          </xdr:nvSpPr>
          <xdr:spPr>
            <a:xfrm>
              <a:off x="10804050" y="3123857"/>
              <a:ext cx="15331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E5C72124-33BC-4654-AD4B-BA1349C82453}"/>
                </a:ext>
              </a:extLst>
            </xdr:cNvPr>
            <xdr:cNvSpPr txBox="1"/>
          </xdr:nvSpPr>
          <xdr:spPr>
            <a:xfrm>
              <a:off x="10804050" y="3123857"/>
              <a:ext cx="15331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𝑦_2=𝐶_𝑙𝑜𝑤2    𝑥_2+𝐷_𝑙𝑜𝑤2   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6</xdr:col>
      <xdr:colOff>609600</xdr:colOff>
      <xdr:row>16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A40AD95-483C-4375-91E9-F75B4ED5D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6112</xdr:colOff>
      <xdr:row>15</xdr:row>
      <xdr:rowOff>179781</xdr:rowOff>
    </xdr:from>
    <xdr:to>
      <xdr:col>6</xdr:col>
      <xdr:colOff>618727</xdr:colOff>
      <xdr:row>30</xdr:row>
      <xdr:rowOff>179782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80EF388-279B-40D5-A895-8CA0B850E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15</xdr:col>
      <xdr:colOff>609600</xdr:colOff>
      <xdr:row>16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32D66DD-93EE-4419-8A56-3EACD1CFC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15</xdr:row>
      <xdr:rowOff>167472</xdr:rowOff>
    </xdr:from>
    <xdr:to>
      <xdr:col>15</xdr:col>
      <xdr:colOff>609600</xdr:colOff>
      <xdr:row>30</xdr:row>
      <xdr:rowOff>167473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CD5720C-9453-4212-8A58-2B8D34D7E4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5</xdr:col>
      <xdr:colOff>78218</xdr:colOff>
      <xdr:row>2</xdr:row>
      <xdr:rowOff>76347</xdr:rowOff>
    </xdr:from>
    <xdr:ext cx="1257780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8F59E98C-EF3D-42C2-9B00-FF95F5192D69}"/>
                </a:ext>
              </a:extLst>
            </xdr:cNvPr>
            <xdr:cNvSpPr txBox="1"/>
          </xdr:nvSpPr>
          <xdr:spPr>
            <a:xfrm>
              <a:off x="4022689" y="434935"/>
              <a:ext cx="125778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8F59E98C-EF3D-42C2-9B00-FF95F5192D69}"/>
                </a:ext>
              </a:extLst>
            </xdr:cNvPr>
            <xdr:cNvSpPr txBox="1"/>
          </xdr:nvSpPr>
          <xdr:spPr>
            <a:xfrm>
              <a:off x="4022689" y="434935"/>
              <a:ext cx="125778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𝑦=𝐴_ℎ𝑖𝑔ℎ  𝑥+𝐵_ℎ𝑖𝑔ℎ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76246</xdr:colOff>
      <xdr:row>17</xdr:row>
      <xdr:rowOff>60685</xdr:rowOff>
    </xdr:from>
    <xdr:ext cx="1247393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DD8484FA-4E65-40F1-95AA-D57FC3717BD3}"/>
                </a:ext>
              </a:extLst>
            </xdr:cNvPr>
            <xdr:cNvSpPr txBox="1"/>
          </xdr:nvSpPr>
          <xdr:spPr>
            <a:xfrm>
              <a:off x="4020717" y="3108685"/>
              <a:ext cx="1247393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DD8484FA-4E65-40F1-95AA-D57FC3717BD3}"/>
                </a:ext>
              </a:extLst>
            </xdr:cNvPr>
            <xdr:cNvSpPr txBox="1"/>
          </xdr:nvSpPr>
          <xdr:spPr>
            <a:xfrm>
              <a:off x="4020717" y="3108685"/>
              <a:ext cx="1247393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𝑦=𝐶_ℎ𝑖𝑔ℎ  𝑥+𝐷_ℎ𝑖𝑔ℎ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523302</xdr:colOff>
      <xdr:row>2</xdr:row>
      <xdr:rowOff>81963</xdr:rowOff>
    </xdr:from>
    <xdr:ext cx="138185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C622FF44-C69E-4E2F-B4FF-C564EEE9BFDC}"/>
                </a:ext>
              </a:extLst>
            </xdr:cNvPr>
            <xdr:cNvSpPr txBox="1"/>
          </xdr:nvSpPr>
          <xdr:spPr>
            <a:xfrm>
              <a:off x="10778926" y="440551"/>
              <a:ext cx="13818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C622FF44-C69E-4E2F-B4FF-C564EEE9BFDC}"/>
                </a:ext>
              </a:extLst>
            </xdr:cNvPr>
            <xdr:cNvSpPr txBox="1"/>
          </xdr:nvSpPr>
          <xdr:spPr>
            <a:xfrm>
              <a:off x="10778926" y="440551"/>
              <a:ext cx="13818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𝑦_1=𝐴_𝑙𝑜𝑤1   𝑥_1+𝐵_𝑙𝑜𝑤1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524976</xdr:colOff>
      <xdr:row>3</xdr:row>
      <xdr:rowOff>58518</xdr:rowOff>
    </xdr:from>
    <xdr:ext cx="138839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FC83F3C5-3F5A-4415-A482-56F1BA8B77ED}"/>
                </a:ext>
              </a:extLst>
            </xdr:cNvPr>
            <xdr:cNvSpPr txBox="1"/>
          </xdr:nvSpPr>
          <xdr:spPr>
            <a:xfrm>
              <a:off x="10780600" y="596400"/>
              <a:ext cx="13883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FC83F3C5-3F5A-4415-A482-56F1BA8B77ED}"/>
                </a:ext>
              </a:extLst>
            </xdr:cNvPr>
            <xdr:cNvSpPr txBox="1"/>
          </xdr:nvSpPr>
          <xdr:spPr>
            <a:xfrm>
              <a:off x="10780600" y="596400"/>
              <a:ext cx="13883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𝑦_2=𝐴_𝑙𝑜𝑤2   𝑥_2+𝐵_𝑙𝑜𝑤2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541724</xdr:colOff>
      <xdr:row>17</xdr:row>
      <xdr:rowOff>23250</xdr:rowOff>
    </xdr:from>
    <xdr:ext cx="140249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2B361E55-6729-42D6-8D7F-8FCD6B9D629B}"/>
                </a:ext>
              </a:extLst>
            </xdr:cNvPr>
            <xdr:cNvSpPr txBox="1"/>
          </xdr:nvSpPr>
          <xdr:spPr>
            <a:xfrm>
              <a:off x="10797348" y="3071250"/>
              <a:ext cx="1402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2B361E55-6729-42D6-8D7F-8FCD6B9D629B}"/>
                </a:ext>
              </a:extLst>
            </xdr:cNvPr>
            <xdr:cNvSpPr txBox="1"/>
          </xdr:nvSpPr>
          <xdr:spPr>
            <a:xfrm>
              <a:off x="10797348" y="3071250"/>
              <a:ext cx="1402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𝑦_1=𝐶_𝑙𝑜𝑤1    𝑥_1+𝐷_𝑙𝑜𝑤1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535025</xdr:colOff>
      <xdr:row>17</xdr:row>
      <xdr:rowOff>179098</xdr:rowOff>
    </xdr:from>
    <xdr:ext cx="1533176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767F9A90-6C74-411C-8D21-48B5735147F5}"/>
                </a:ext>
              </a:extLst>
            </xdr:cNvPr>
            <xdr:cNvSpPr txBox="1"/>
          </xdr:nvSpPr>
          <xdr:spPr>
            <a:xfrm>
              <a:off x="10790649" y="3227098"/>
              <a:ext cx="15331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767F9A90-6C74-411C-8D21-48B5735147F5}"/>
                </a:ext>
              </a:extLst>
            </xdr:cNvPr>
            <xdr:cNvSpPr txBox="1"/>
          </xdr:nvSpPr>
          <xdr:spPr>
            <a:xfrm>
              <a:off x="10790649" y="3227098"/>
              <a:ext cx="15331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𝑦_2=𝐶_𝑙𝑜𝑤2    𝑥_2+𝐷_𝑙𝑜𝑤2   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6</xdr:col>
      <xdr:colOff>609600</xdr:colOff>
      <xdr:row>16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4390A04-70D4-4945-B7FD-62EFC3196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6112</xdr:colOff>
      <xdr:row>15</xdr:row>
      <xdr:rowOff>179781</xdr:rowOff>
    </xdr:from>
    <xdr:to>
      <xdr:col>6</xdr:col>
      <xdr:colOff>618727</xdr:colOff>
      <xdr:row>30</xdr:row>
      <xdr:rowOff>179782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EE76539-D2BD-49D4-B056-F776D3BA5B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15</xdr:col>
      <xdr:colOff>609600</xdr:colOff>
      <xdr:row>16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37FCAD0-E476-4D86-9877-67868E76C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15</xdr:row>
      <xdr:rowOff>167472</xdr:rowOff>
    </xdr:from>
    <xdr:to>
      <xdr:col>15</xdr:col>
      <xdr:colOff>609600</xdr:colOff>
      <xdr:row>30</xdr:row>
      <xdr:rowOff>167473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BE41BF88-8E2E-4BFE-9FA3-F03D6DC50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5</xdr:col>
      <xdr:colOff>217125</xdr:colOff>
      <xdr:row>1</xdr:row>
      <xdr:rowOff>53788</xdr:rowOff>
    </xdr:from>
    <xdr:ext cx="1257780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EC4A52B0-2150-4385-88EA-F769EDB1653D}"/>
                </a:ext>
              </a:extLst>
            </xdr:cNvPr>
            <xdr:cNvSpPr txBox="1"/>
          </xdr:nvSpPr>
          <xdr:spPr>
            <a:xfrm>
              <a:off x="4161596" y="233082"/>
              <a:ext cx="125778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EC4A52B0-2150-4385-88EA-F769EDB1653D}"/>
                </a:ext>
              </a:extLst>
            </xdr:cNvPr>
            <xdr:cNvSpPr txBox="1"/>
          </xdr:nvSpPr>
          <xdr:spPr>
            <a:xfrm>
              <a:off x="4161596" y="233082"/>
              <a:ext cx="125778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𝑦=𝐴_ℎ𝑖𝑔ℎ  𝑥+𝐵_ℎ𝑖𝑔ℎ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215153</xdr:colOff>
      <xdr:row>16</xdr:row>
      <xdr:rowOff>38126</xdr:rowOff>
    </xdr:from>
    <xdr:ext cx="1247393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478754AA-529A-4C94-8226-5A19BCD1F8A0}"/>
                </a:ext>
              </a:extLst>
            </xdr:cNvPr>
            <xdr:cNvSpPr txBox="1"/>
          </xdr:nvSpPr>
          <xdr:spPr>
            <a:xfrm>
              <a:off x="4159624" y="2906832"/>
              <a:ext cx="1247393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478754AA-529A-4C94-8226-5A19BCD1F8A0}"/>
                </a:ext>
              </a:extLst>
            </xdr:cNvPr>
            <xdr:cNvSpPr txBox="1"/>
          </xdr:nvSpPr>
          <xdr:spPr>
            <a:xfrm>
              <a:off x="4159624" y="2906832"/>
              <a:ext cx="1247393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𝑦=𝐶_ℎ𝑖𝑔ℎ  𝑥+𝐷_ℎ𝑖𝑔ℎ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662209</xdr:colOff>
      <xdr:row>1</xdr:row>
      <xdr:rowOff>59404</xdr:rowOff>
    </xdr:from>
    <xdr:ext cx="138185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69D4F4D4-ECD6-4798-B2AD-F1BF2D618BF7}"/>
                </a:ext>
              </a:extLst>
            </xdr:cNvPr>
            <xdr:cNvSpPr txBox="1"/>
          </xdr:nvSpPr>
          <xdr:spPr>
            <a:xfrm>
              <a:off x="10917833" y="238698"/>
              <a:ext cx="13818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69D4F4D4-ECD6-4798-B2AD-F1BF2D618BF7}"/>
                </a:ext>
              </a:extLst>
            </xdr:cNvPr>
            <xdr:cNvSpPr txBox="1"/>
          </xdr:nvSpPr>
          <xdr:spPr>
            <a:xfrm>
              <a:off x="10917833" y="238698"/>
              <a:ext cx="13818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𝑦_1=𝐴_𝑙𝑜𝑤1   𝑥_1+𝐵_𝑙𝑜𝑤1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663883</xdr:colOff>
      <xdr:row>2</xdr:row>
      <xdr:rowOff>35959</xdr:rowOff>
    </xdr:from>
    <xdr:ext cx="138839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A1524710-CB0C-427B-B134-6DBACB5A451F}"/>
                </a:ext>
              </a:extLst>
            </xdr:cNvPr>
            <xdr:cNvSpPr txBox="1"/>
          </xdr:nvSpPr>
          <xdr:spPr>
            <a:xfrm>
              <a:off x="10919507" y="394547"/>
              <a:ext cx="13883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A1524710-CB0C-427B-B134-6DBACB5A451F}"/>
                </a:ext>
              </a:extLst>
            </xdr:cNvPr>
            <xdr:cNvSpPr txBox="1"/>
          </xdr:nvSpPr>
          <xdr:spPr>
            <a:xfrm>
              <a:off x="10919507" y="394547"/>
              <a:ext cx="13883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𝑦_2=𝐴_𝑙𝑜𝑤2   𝑥_2+𝐵_𝑙𝑜𝑤2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680631</xdr:colOff>
      <xdr:row>16</xdr:row>
      <xdr:rowOff>691</xdr:rowOff>
    </xdr:from>
    <xdr:ext cx="140249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ZoneTexte 21">
              <a:extLst>
                <a:ext uri="{FF2B5EF4-FFF2-40B4-BE49-F238E27FC236}">
                  <a16:creationId xmlns:a16="http://schemas.microsoft.com/office/drawing/2014/main" id="{957B883C-997C-4F75-8831-690026756DD4}"/>
                </a:ext>
              </a:extLst>
            </xdr:cNvPr>
            <xdr:cNvSpPr txBox="1"/>
          </xdr:nvSpPr>
          <xdr:spPr>
            <a:xfrm>
              <a:off x="10936255" y="2869397"/>
              <a:ext cx="1402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22" name="ZoneTexte 21">
              <a:extLst>
                <a:ext uri="{FF2B5EF4-FFF2-40B4-BE49-F238E27FC236}">
                  <a16:creationId xmlns:a16="http://schemas.microsoft.com/office/drawing/2014/main" id="{957B883C-997C-4F75-8831-690026756DD4}"/>
                </a:ext>
              </a:extLst>
            </xdr:cNvPr>
            <xdr:cNvSpPr txBox="1"/>
          </xdr:nvSpPr>
          <xdr:spPr>
            <a:xfrm>
              <a:off x="10936255" y="2869397"/>
              <a:ext cx="1402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𝑦_1=𝐶_𝑙𝑜𝑤1    𝑥_1+𝐷_𝑙𝑜𝑤1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673932</xdr:colOff>
      <xdr:row>16</xdr:row>
      <xdr:rowOff>156539</xdr:rowOff>
    </xdr:from>
    <xdr:ext cx="1533176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ZoneTexte 22">
              <a:extLst>
                <a:ext uri="{FF2B5EF4-FFF2-40B4-BE49-F238E27FC236}">
                  <a16:creationId xmlns:a16="http://schemas.microsoft.com/office/drawing/2014/main" id="{BF0CCC73-B6B3-4ED1-BB26-088D986868C3}"/>
                </a:ext>
              </a:extLst>
            </xdr:cNvPr>
            <xdr:cNvSpPr txBox="1"/>
          </xdr:nvSpPr>
          <xdr:spPr>
            <a:xfrm>
              <a:off x="10929556" y="3025245"/>
              <a:ext cx="15331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23" name="ZoneTexte 22">
              <a:extLst>
                <a:ext uri="{FF2B5EF4-FFF2-40B4-BE49-F238E27FC236}">
                  <a16:creationId xmlns:a16="http://schemas.microsoft.com/office/drawing/2014/main" id="{BF0CCC73-B6B3-4ED1-BB26-088D986868C3}"/>
                </a:ext>
              </a:extLst>
            </xdr:cNvPr>
            <xdr:cNvSpPr txBox="1"/>
          </xdr:nvSpPr>
          <xdr:spPr>
            <a:xfrm>
              <a:off x="10929556" y="3025245"/>
              <a:ext cx="15331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𝑦_2=𝐶_𝑙𝑜𝑤2    𝑥_2+𝐷_𝑙𝑜𝑤2   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6</xdr:col>
      <xdr:colOff>609600</xdr:colOff>
      <xdr:row>16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3874AF5-7DA3-4A3B-B8E8-D2FEC73677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6112</xdr:colOff>
      <xdr:row>15</xdr:row>
      <xdr:rowOff>179781</xdr:rowOff>
    </xdr:from>
    <xdr:to>
      <xdr:col>6</xdr:col>
      <xdr:colOff>618727</xdr:colOff>
      <xdr:row>30</xdr:row>
      <xdr:rowOff>179782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CA48C90-6677-4D8B-92BC-CEDF9A26A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15</xdr:col>
      <xdr:colOff>609600</xdr:colOff>
      <xdr:row>16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9AB5D9F-13EF-4621-A77D-74E5C1459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15</xdr:row>
      <xdr:rowOff>167472</xdr:rowOff>
    </xdr:from>
    <xdr:to>
      <xdr:col>15</xdr:col>
      <xdr:colOff>609600</xdr:colOff>
      <xdr:row>30</xdr:row>
      <xdr:rowOff>167473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F718022-9014-44C0-84CB-0CC76F60D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5</xdr:col>
      <xdr:colOff>244019</xdr:colOff>
      <xdr:row>1</xdr:row>
      <xdr:rowOff>107577</xdr:rowOff>
    </xdr:from>
    <xdr:ext cx="1257780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687687CB-CA33-402D-8D05-24B3D19EB0EB}"/>
                </a:ext>
              </a:extLst>
            </xdr:cNvPr>
            <xdr:cNvSpPr txBox="1"/>
          </xdr:nvSpPr>
          <xdr:spPr>
            <a:xfrm>
              <a:off x="4188490" y="286871"/>
              <a:ext cx="125778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687687CB-CA33-402D-8D05-24B3D19EB0EB}"/>
                </a:ext>
              </a:extLst>
            </xdr:cNvPr>
            <xdr:cNvSpPr txBox="1"/>
          </xdr:nvSpPr>
          <xdr:spPr>
            <a:xfrm>
              <a:off x="4188490" y="286871"/>
              <a:ext cx="125778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𝑦=𝐴_ℎ𝑖𝑔ℎ  𝑥+𝐵_ℎ𝑖𝑔ℎ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242047</xdr:colOff>
      <xdr:row>16</xdr:row>
      <xdr:rowOff>91915</xdr:rowOff>
    </xdr:from>
    <xdr:ext cx="1247393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E2F7C17C-8B3C-459C-A7D2-BBC2D213D7C3}"/>
                </a:ext>
              </a:extLst>
            </xdr:cNvPr>
            <xdr:cNvSpPr txBox="1"/>
          </xdr:nvSpPr>
          <xdr:spPr>
            <a:xfrm>
              <a:off x="4186518" y="2960621"/>
              <a:ext cx="1247393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E2F7C17C-8B3C-459C-A7D2-BBC2D213D7C3}"/>
                </a:ext>
              </a:extLst>
            </xdr:cNvPr>
            <xdr:cNvSpPr txBox="1"/>
          </xdr:nvSpPr>
          <xdr:spPr>
            <a:xfrm>
              <a:off x="4186518" y="2960621"/>
              <a:ext cx="1247393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𝑦=𝐶_ℎ𝑖𝑔ℎ  𝑥+𝐷_ℎ𝑖𝑔ℎ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689103</xdr:colOff>
      <xdr:row>1</xdr:row>
      <xdr:rowOff>113193</xdr:rowOff>
    </xdr:from>
    <xdr:ext cx="138185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BF24DF85-74AA-4A40-BC34-5F002F6DB8E6}"/>
                </a:ext>
              </a:extLst>
            </xdr:cNvPr>
            <xdr:cNvSpPr txBox="1"/>
          </xdr:nvSpPr>
          <xdr:spPr>
            <a:xfrm>
              <a:off x="10944727" y="292487"/>
              <a:ext cx="13818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BF24DF85-74AA-4A40-BC34-5F002F6DB8E6}"/>
                </a:ext>
              </a:extLst>
            </xdr:cNvPr>
            <xdr:cNvSpPr txBox="1"/>
          </xdr:nvSpPr>
          <xdr:spPr>
            <a:xfrm>
              <a:off x="10944727" y="292487"/>
              <a:ext cx="13818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𝑦_1=𝐴_𝑙𝑜𝑤1   𝑥_1+𝐵_𝑙𝑜𝑤1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690777</xdr:colOff>
      <xdr:row>2</xdr:row>
      <xdr:rowOff>89748</xdr:rowOff>
    </xdr:from>
    <xdr:ext cx="138839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136A409A-072B-4E65-B871-0145444DFA98}"/>
                </a:ext>
              </a:extLst>
            </xdr:cNvPr>
            <xdr:cNvSpPr txBox="1"/>
          </xdr:nvSpPr>
          <xdr:spPr>
            <a:xfrm>
              <a:off x="10946401" y="448336"/>
              <a:ext cx="13883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136A409A-072B-4E65-B871-0145444DFA98}"/>
                </a:ext>
              </a:extLst>
            </xdr:cNvPr>
            <xdr:cNvSpPr txBox="1"/>
          </xdr:nvSpPr>
          <xdr:spPr>
            <a:xfrm>
              <a:off x="10946401" y="448336"/>
              <a:ext cx="13883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𝑦_2=𝐴_𝑙𝑜𝑤2   𝑥_2+𝐵_𝑙𝑜𝑤2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707525</xdr:colOff>
      <xdr:row>16</xdr:row>
      <xdr:rowOff>54480</xdr:rowOff>
    </xdr:from>
    <xdr:ext cx="140249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40BA1C20-3FAE-4909-B514-D77F6AA8DF8D}"/>
                </a:ext>
              </a:extLst>
            </xdr:cNvPr>
            <xdr:cNvSpPr txBox="1"/>
          </xdr:nvSpPr>
          <xdr:spPr>
            <a:xfrm>
              <a:off x="10963149" y="2923186"/>
              <a:ext cx="1402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40BA1C20-3FAE-4909-B514-D77F6AA8DF8D}"/>
                </a:ext>
              </a:extLst>
            </xdr:cNvPr>
            <xdr:cNvSpPr txBox="1"/>
          </xdr:nvSpPr>
          <xdr:spPr>
            <a:xfrm>
              <a:off x="10963149" y="2923186"/>
              <a:ext cx="1402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𝑦_1=𝐶_𝑙𝑜𝑤1    𝑥_1+𝐷_𝑙𝑜𝑤1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700826</xdr:colOff>
      <xdr:row>17</xdr:row>
      <xdr:rowOff>31034</xdr:rowOff>
    </xdr:from>
    <xdr:ext cx="1533176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6EFF7BCE-2FE7-4E8F-9035-5DEB633562A0}"/>
                </a:ext>
              </a:extLst>
            </xdr:cNvPr>
            <xdr:cNvSpPr txBox="1"/>
          </xdr:nvSpPr>
          <xdr:spPr>
            <a:xfrm>
              <a:off x="10956450" y="3079034"/>
              <a:ext cx="15331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6EFF7BCE-2FE7-4E8F-9035-5DEB633562A0}"/>
                </a:ext>
              </a:extLst>
            </xdr:cNvPr>
            <xdr:cNvSpPr txBox="1"/>
          </xdr:nvSpPr>
          <xdr:spPr>
            <a:xfrm>
              <a:off x="10956450" y="3079034"/>
              <a:ext cx="15331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𝑦_2=𝐶_𝑙𝑜𝑤2    𝑥_2+𝐷_𝑙𝑜𝑤2   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6</xdr:col>
      <xdr:colOff>609600</xdr:colOff>
      <xdr:row>16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31813DD-D59D-4AF0-AC51-78735105F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6112</xdr:colOff>
      <xdr:row>15</xdr:row>
      <xdr:rowOff>179781</xdr:rowOff>
    </xdr:from>
    <xdr:to>
      <xdr:col>6</xdr:col>
      <xdr:colOff>618727</xdr:colOff>
      <xdr:row>30</xdr:row>
      <xdr:rowOff>179782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36D8D6B-D852-4406-82ED-74DC5F203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15</xdr:col>
      <xdr:colOff>609600</xdr:colOff>
      <xdr:row>16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C7EC8A9-F440-4FB2-9D02-BDDDF0303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15</xdr:row>
      <xdr:rowOff>167472</xdr:rowOff>
    </xdr:from>
    <xdr:to>
      <xdr:col>15</xdr:col>
      <xdr:colOff>609600</xdr:colOff>
      <xdr:row>30</xdr:row>
      <xdr:rowOff>167473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C490202-77D2-4E72-B7F0-EF8680144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5</xdr:col>
      <xdr:colOff>226089</xdr:colOff>
      <xdr:row>1</xdr:row>
      <xdr:rowOff>62753</xdr:rowOff>
    </xdr:from>
    <xdr:ext cx="1257780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182A989B-919C-4315-820D-37A2DF0D4C68}"/>
                </a:ext>
              </a:extLst>
            </xdr:cNvPr>
            <xdr:cNvSpPr txBox="1"/>
          </xdr:nvSpPr>
          <xdr:spPr>
            <a:xfrm>
              <a:off x="4170560" y="242047"/>
              <a:ext cx="125778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182A989B-919C-4315-820D-37A2DF0D4C68}"/>
                </a:ext>
              </a:extLst>
            </xdr:cNvPr>
            <xdr:cNvSpPr txBox="1"/>
          </xdr:nvSpPr>
          <xdr:spPr>
            <a:xfrm>
              <a:off x="4170560" y="242047"/>
              <a:ext cx="125778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𝑦=𝐴_ℎ𝑖𝑔ℎ  𝑥+𝐵_ℎ𝑖𝑔ℎ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224117</xdr:colOff>
      <xdr:row>16</xdr:row>
      <xdr:rowOff>47091</xdr:rowOff>
    </xdr:from>
    <xdr:ext cx="1247393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0D76E87C-0965-462B-8636-9AE775F193EB}"/>
                </a:ext>
              </a:extLst>
            </xdr:cNvPr>
            <xdr:cNvSpPr txBox="1"/>
          </xdr:nvSpPr>
          <xdr:spPr>
            <a:xfrm>
              <a:off x="4168588" y="2915797"/>
              <a:ext cx="1247393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0D76E87C-0965-462B-8636-9AE775F193EB}"/>
                </a:ext>
              </a:extLst>
            </xdr:cNvPr>
            <xdr:cNvSpPr txBox="1"/>
          </xdr:nvSpPr>
          <xdr:spPr>
            <a:xfrm>
              <a:off x="4168588" y="2915797"/>
              <a:ext cx="1247393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𝑦=𝐶_ℎ𝑖𝑔ℎ  𝑥+𝐷_ℎ𝑖𝑔ℎ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671173</xdr:colOff>
      <xdr:row>1</xdr:row>
      <xdr:rowOff>68369</xdr:rowOff>
    </xdr:from>
    <xdr:ext cx="138185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AE603780-62E3-401E-9155-B0CFC8281003}"/>
                </a:ext>
              </a:extLst>
            </xdr:cNvPr>
            <xdr:cNvSpPr txBox="1"/>
          </xdr:nvSpPr>
          <xdr:spPr>
            <a:xfrm>
              <a:off x="10926797" y="247663"/>
              <a:ext cx="13818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AE603780-62E3-401E-9155-B0CFC8281003}"/>
                </a:ext>
              </a:extLst>
            </xdr:cNvPr>
            <xdr:cNvSpPr txBox="1"/>
          </xdr:nvSpPr>
          <xdr:spPr>
            <a:xfrm>
              <a:off x="10926797" y="247663"/>
              <a:ext cx="13818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𝑦_1=𝐴_𝑙𝑜𝑤1   𝑥_1+𝐵_𝑙𝑜𝑤1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672847</xdr:colOff>
      <xdr:row>2</xdr:row>
      <xdr:rowOff>44924</xdr:rowOff>
    </xdr:from>
    <xdr:ext cx="138839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B51C6526-2DF7-443B-8C7E-B9C12260243D}"/>
                </a:ext>
              </a:extLst>
            </xdr:cNvPr>
            <xdr:cNvSpPr txBox="1"/>
          </xdr:nvSpPr>
          <xdr:spPr>
            <a:xfrm>
              <a:off x="10928471" y="403512"/>
              <a:ext cx="13883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B51C6526-2DF7-443B-8C7E-B9C12260243D}"/>
                </a:ext>
              </a:extLst>
            </xdr:cNvPr>
            <xdr:cNvSpPr txBox="1"/>
          </xdr:nvSpPr>
          <xdr:spPr>
            <a:xfrm>
              <a:off x="10928471" y="403512"/>
              <a:ext cx="13883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𝑦_2=𝐴_𝑙𝑜𝑤2   𝑥_2+𝐵_𝑙𝑜𝑤2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689595</xdr:colOff>
      <xdr:row>16</xdr:row>
      <xdr:rowOff>9656</xdr:rowOff>
    </xdr:from>
    <xdr:ext cx="140249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C338A6B5-D4DC-49A7-A303-6579D7DC58C7}"/>
                </a:ext>
              </a:extLst>
            </xdr:cNvPr>
            <xdr:cNvSpPr txBox="1"/>
          </xdr:nvSpPr>
          <xdr:spPr>
            <a:xfrm>
              <a:off x="10945219" y="2878362"/>
              <a:ext cx="1402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C338A6B5-D4DC-49A7-A303-6579D7DC58C7}"/>
                </a:ext>
              </a:extLst>
            </xdr:cNvPr>
            <xdr:cNvSpPr txBox="1"/>
          </xdr:nvSpPr>
          <xdr:spPr>
            <a:xfrm>
              <a:off x="10945219" y="2878362"/>
              <a:ext cx="1402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𝑦_1=𝐶_𝑙𝑜𝑤1    𝑥_1+𝐷_𝑙𝑜𝑤1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682896</xdr:colOff>
      <xdr:row>16</xdr:row>
      <xdr:rowOff>165504</xdr:rowOff>
    </xdr:from>
    <xdr:ext cx="1533176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A1E0023C-86B6-4085-9005-EC5CCAEB86CA}"/>
                </a:ext>
              </a:extLst>
            </xdr:cNvPr>
            <xdr:cNvSpPr txBox="1"/>
          </xdr:nvSpPr>
          <xdr:spPr>
            <a:xfrm>
              <a:off x="10938520" y="3034210"/>
              <a:ext cx="15331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A1E0023C-86B6-4085-9005-EC5CCAEB86CA}"/>
                </a:ext>
              </a:extLst>
            </xdr:cNvPr>
            <xdr:cNvSpPr txBox="1"/>
          </xdr:nvSpPr>
          <xdr:spPr>
            <a:xfrm>
              <a:off x="10938520" y="3034210"/>
              <a:ext cx="15331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𝑦_2=𝐶_𝑙𝑜𝑤2    𝑥_2+𝐷_𝑙𝑜𝑤2   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6</xdr:col>
      <xdr:colOff>609600</xdr:colOff>
      <xdr:row>16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3136748-D064-4419-B9B2-6D03743BC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6112</xdr:colOff>
      <xdr:row>15</xdr:row>
      <xdr:rowOff>179781</xdr:rowOff>
    </xdr:from>
    <xdr:to>
      <xdr:col>6</xdr:col>
      <xdr:colOff>618727</xdr:colOff>
      <xdr:row>30</xdr:row>
      <xdr:rowOff>179782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32E0833-7B34-4048-8730-3C5B742483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15</xdr:col>
      <xdr:colOff>609600</xdr:colOff>
      <xdr:row>16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B248E9A-C114-4321-8476-97D161CAB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15</xdr:row>
      <xdr:rowOff>167472</xdr:rowOff>
    </xdr:from>
    <xdr:to>
      <xdr:col>15</xdr:col>
      <xdr:colOff>609600</xdr:colOff>
      <xdr:row>30</xdr:row>
      <xdr:rowOff>167473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AC94C26-5D66-431B-BEEE-CA755F969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5</xdr:col>
      <xdr:colOff>154372</xdr:colOff>
      <xdr:row>1</xdr:row>
      <xdr:rowOff>71718</xdr:rowOff>
    </xdr:from>
    <xdr:ext cx="1257780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6E70E23E-10CA-4B8D-89E2-C0953655CF45}"/>
                </a:ext>
              </a:extLst>
            </xdr:cNvPr>
            <xdr:cNvSpPr txBox="1"/>
          </xdr:nvSpPr>
          <xdr:spPr>
            <a:xfrm>
              <a:off x="4098843" y="251012"/>
              <a:ext cx="125778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6E70E23E-10CA-4B8D-89E2-C0953655CF45}"/>
                </a:ext>
              </a:extLst>
            </xdr:cNvPr>
            <xdr:cNvSpPr txBox="1"/>
          </xdr:nvSpPr>
          <xdr:spPr>
            <a:xfrm>
              <a:off x="4098843" y="251012"/>
              <a:ext cx="125778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𝑦=𝐴_ℎ𝑖𝑔ℎ  𝑥+𝐵_ℎ𝑖𝑔ℎ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152400</xdr:colOff>
      <xdr:row>16</xdr:row>
      <xdr:rowOff>56056</xdr:rowOff>
    </xdr:from>
    <xdr:ext cx="1247393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BD4FD1EB-C68B-4178-A286-F3458EB230D3}"/>
                </a:ext>
              </a:extLst>
            </xdr:cNvPr>
            <xdr:cNvSpPr txBox="1"/>
          </xdr:nvSpPr>
          <xdr:spPr>
            <a:xfrm>
              <a:off x="4096871" y="2924762"/>
              <a:ext cx="1247393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BD4FD1EB-C68B-4178-A286-F3458EB230D3}"/>
                </a:ext>
              </a:extLst>
            </xdr:cNvPr>
            <xdr:cNvSpPr txBox="1"/>
          </xdr:nvSpPr>
          <xdr:spPr>
            <a:xfrm>
              <a:off x="4096871" y="2924762"/>
              <a:ext cx="1247393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𝑦=𝐶_ℎ𝑖𝑔ℎ  𝑥+𝐷_ℎ𝑖𝑔ℎ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599456</xdr:colOff>
      <xdr:row>1</xdr:row>
      <xdr:rowOff>77334</xdr:rowOff>
    </xdr:from>
    <xdr:ext cx="138185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02872ECE-27C4-414B-800A-B4E7E812B6D1}"/>
                </a:ext>
              </a:extLst>
            </xdr:cNvPr>
            <xdr:cNvSpPr txBox="1"/>
          </xdr:nvSpPr>
          <xdr:spPr>
            <a:xfrm>
              <a:off x="10855080" y="256628"/>
              <a:ext cx="13818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02872ECE-27C4-414B-800A-B4E7E812B6D1}"/>
                </a:ext>
              </a:extLst>
            </xdr:cNvPr>
            <xdr:cNvSpPr txBox="1"/>
          </xdr:nvSpPr>
          <xdr:spPr>
            <a:xfrm>
              <a:off x="10855080" y="256628"/>
              <a:ext cx="13818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𝑦_1=𝐴_𝑙𝑜𝑤1   𝑥_1+𝐵_𝑙𝑜𝑤1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601130</xdr:colOff>
      <xdr:row>2</xdr:row>
      <xdr:rowOff>53889</xdr:rowOff>
    </xdr:from>
    <xdr:ext cx="138839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7F2E0E75-B0B0-4AC1-9003-232D14A4AAD4}"/>
                </a:ext>
              </a:extLst>
            </xdr:cNvPr>
            <xdr:cNvSpPr txBox="1"/>
          </xdr:nvSpPr>
          <xdr:spPr>
            <a:xfrm>
              <a:off x="10856754" y="412477"/>
              <a:ext cx="13883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7F2E0E75-B0B0-4AC1-9003-232D14A4AAD4}"/>
                </a:ext>
              </a:extLst>
            </xdr:cNvPr>
            <xdr:cNvSpPr txBox="1"/>
          </xdr:nvSpPr>
          <xdr:spPr>
            <a:xfrm>
              <a:off x="10856754" y="412477"/>
              <a:ext cx="13883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𝑦_2=𝐴_𝑙𝑜𝑤2   𝑥_2+𝐵_𝑙𝑜𝑤2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617878</xdr:colOff>
      <xdr:row>16</xdr:row>
      <xdr:rowOff>18621</xdr:rowOff>
    </xdr:from>
    <xdr:ext cx="140249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ZoneTexte 21">
              <a:extLst>
                <a:ext uri="{FF2B5EF4-FFF2-40B4-BE49-F238E27FC236}">
                  <a16:creationId xmlns:a16="http://schemas.microsoft.com/office/drawing/2014/main" id="{321D9FF2-A62C-41BE-80E4-DDAC16CE4D48}"/>
                </a:ext>
              </a:extLst>
            </xdr:cNvPr>
            <xdr:cNvSpPr txBox="1"/>
          </xdr:nvSpPr>
          <xdr:spPr>
            <a:xfrm>
              <a:off x="10873502" y="2887327"/>
              <a:ext cx="1402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22" name="ZoneTexte 21">
              <a:extLst>
                <a:ext uri="{FF2B5EF4-FFF2-40B4-BE49-F238E27FC236}">
                  <a16:creationId xmlns:a16="http://schemas.microsoft.com/office/drawing/2014/main" id="{321D9FF2-A62C-41BE-80E4-DDAC16CE4D48}"/>
                </a:ext>
              </a:extLst>
            </xdr:cNvPr>
            <xdr:cNvSpPr txBox="1"/>
          </xdr:nvSpPr>
          <xdr:spPr>
            <a:xfrm>
              <a:off x="10873502" y="2887327"/>
              <a:ext cx="1402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𝑦_1=𝐶_𝑙𝑜𝑤1    𝑥_1+𝐷_𝑙𝑜𝑤1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611179</xdr:colOff>
      <xdr:row>16</xdr:row>
      <xdr:rowOff>174469</xdr:rowOff>
    </xdr:from>
    <xdr:ext cx="1533176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ZoneTexte 22">
              <a:extLst>
                <a:ext uri="{FF2B5EF4-FFF2-40B4-BE49-F238E27FC236}">
                  <a16:creationId xmlns:a16="http://schemas.microsoft.com/office/drawing/2014/main" id="{D2EDCE3B-F8B3-44BA-8006-07C7160A20F4}"/>
                </a:ext>
              </a:extLst>
            </xdr:cNvPr>
            <xdr:cNvSpPr txBox="1"/>
          </xdr:nvSpPr>
          <xdr:spPr>
            <a:xfrm>
              <a:off x="10866803" y="3043175"/>
              <a:ext cx="15331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23" name="ZoneTexte 22">
              <a:extLst>
                <a:ext uri="{FF2B5EF4-FFF2-40B4-BE49-F238E27FC236}">
                  <a16:creationId xmlns:a16="http://schemas.microsoft.com/office/drawing/2014/main" id="{D2EDCE3B-F8B3-44BA-8006-07C7160A20F4}"/>
                </a:ext>
              </a:extLst>
            </xdr:cNvPr>
            <xdr:cNvSpPr txBox="1"/>
          </xdr:nvSpPr>
          <xdr:spPr>
            <a:xfrm>
              <a:off x="10866803" y="3043175"/>
              <a:ext cx="15331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𝑦_2=𝐶_𝑙𝑜𝑤2    𝑥_2+𝐷_𝑙𝑜𝑤2   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6</xdr:col>
      <xdr:colOff>609600</xdr:colOff>
      <xdr:row>16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67C4FAE-B8D2-4C61-8C98-55CDD9973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6112</xdr:colOff>
      <xdr:row>15</xdr:row>
      <xdr:rowOff>179781</xdr:rowOff>
    </xdr:from>
    <xdr:to>
      <xdr:col>6</xdr:col>
      <xdr:colOff>618727</xdr:colOff>
      <xdr:row>30</xdr:row>
      <xdr:rowOff>179782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BB7EB3B-E342-44D0-BDAD-E0BA48BC70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15</xdr:col>
      <xdr:colOff>609600</xdr:colOff>
      <xdr:row>16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09848A5-7F61-49AD-8A2E-540D6810B6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15</xdr:row>
      <xdr:rowOff>167472</xdr:rowOff>
    </xdr:from>
    <xdr:to>
      <xdr:col>15</xdr:col>
      <xdr:colOff>609600</xdr:colOff>
      <xdr:row>30</xdr:row>
      <xdr:rowOff>167473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5481681-0C95-4C84-86C5-FC8D526C0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5</xdr:col>
      <xdr:colOff>279878</xdr:colOff>
      <xdr:row>1</xdr:row>
      <xdr:rowOff>53789</xdr:rowOff>
    </xdr:from>
    <xdr:ext cx="1257780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4415DB16-0A1C-4D3F-9B03-49F4105D3E7D}"/>
                </a:ext>
              </a:extLst>
            </xdr:cNvPr>
            <xdr:cNvSpPr txBox="1"/>
          </xdr:nvSpPr>
          <xdr:spPr>
            <a:xfrm>
              <a:off x="4224349" y="233083"/>
              <a:ext cx="125778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4415DB16-0A1C-4D3F-9B03-49F4105D3E7D}"/>
                </a:ext>
              </a:extLst>
            </xdr:cNvPr>
            <xdr:cNvSpPr txBox="1"/>
          </xdr:nvSpPr>
          <xdr:spPr>
            <a:xfrm>
              <a:off x="4224349" y="233083"/>
              <a:ext cx="125778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𝑦=𝐴_ℎ𝑖𝑔ℎ  𝑥+𝐵_ℎ𝑖𝑔ℎ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277906</xdr:colOff>
      <xdr:row>16</xdr:row>
      <xdr:rowOff>38127</xdr:rowOff>
    </xdr:from>
    <xdr:ext cx="1247393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8466C06D-BAED-4B91-8532-0985C67BC2DA}"/>
                </a:ext>
              </a:extLst>
            </xdr:cNvPr>
            <xdr:cNvSpPr txBox="1"/>
          </xdr:nvSpPr>
          <xdr:spPr>
            <a:xfrm>
              <a:off x="4222377" y="2906833"/>
              <a:ext cx="1247393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ℎ𝑖𝑔ℎ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8466C06D-BAED-4B91-8532-0985C67BC2DA}"/>
                </a:ext>
              </a:extLst>
            </xdr:cNvPr>
            <xdr:cNvSpPr txBox="1"/>
          </xdr:nvSpPr>
          <xdr:spPr>
            <a:xfrm>
              <a:off x="4222377" y="2906833"/>
              <a:ext cx="1247393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𝑦=𝐶_ℎ𝑖𝑔ℎ  𝑥+𝐷_ℎ𝑖𝑔ℎ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724962</xdr:colOff>
      <xdr:row>1</xdr:row>
      <xdr:rowOff>59405</xdr:rowOff>
    </xdr:from>
    <xdr:ext cx="138185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7BFCB427-280B-47BF-B3E8-E3E55AEDCF02}"/>
                </a:ext>
              </a:extLst>
            </xdr:cNvPr>
            <xdr:cNvSpPr txBox="1"/>
          </xdr:nvSpPr>
          <xdr:spPr>
            <a:xfrm>
              <a:off x="10980586" y="238699"/>
              <a:ext cx="13818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7BFCB427-280B-47BF-B3E8-E3E55AEDCF02}"/>
                </a:ext>
              </a:extLst>
            </xdr:cNvPr>
            <xdr:cNvSpPr txBox="1"/>
          </xdr:nvSpPr>
          <xdr:spPr>
            <a:xfrm>
              <a:off x="10980586" y="238699"/>
              <a:ext cx="138185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𝑦_1=𝐴_𝑙𝑜𝑤1   𝑥_1+𝐵_𝑙𝑜𝑤1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726636</xdr:colOff>
      <xdr:row>2</xdr:row>
      <xdr:rowOff>35960</xdr:rowOff>
    </xdr:from>
    <xdr:ext cx="138839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3B06C1EC-5CB1-4AB0-9EE6-0100D4A2469B}"/>
                </a:ext>
              </a:extLst>
            </xdr:cNvPr>
            <xdr:cNvSpPr txBox="1"/>
          </xdr:nvSpPr>
          <xdr:spPr>
            <a:xfrm>
              <a:off x="10982260" y="394548"/>
              <a:ext cx="13883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3B06C1EC-5CB1-4AB0-9EE6-0100D4A2469B}"/>
                </a:ext>
              </a:extLst>
            </xdr:cNvPr>
            <xdr:cNvSpPr txBox="1"/>
          </xdr:nvSpPr>
          <xdr:spPr>
            <a:xfrm>
              <a:off x="10982260" y="394548"/>
              <a:ext cx="138839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𝑦_2=𝐴_𝑙𝑜𝑤2   𝑥_2+𝐵_𝑙𝑜𝑤2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743384</xdr:colOff>
      <xdr:row>16</xdr:row>
      <xdr:rowOff>692</xdr:rowOff>
    </xdr:from>
    <xdr:ext cx="140249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AEF9F702-A88A-49E6-BA8A-CE26FA704765}"/>
                </a:ext>
              </a:extLst>
            </xdr:cNvPr>
            <xdr:cNvSpPr txBox="1"/>
          </xdr:nvSpPr>
          <xdr:spPr>
            <a:xfrm>
              <a:off x="10999008" y="2869398"/>
              <a:ext cx="1402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AEF9F702-A88A-49E6-BA8A-CE26FA704765}"/>
                </a:ext>
              </a:extLst>
            </xdr:cNvPr>
            <xdr:cNvSpPr txBox="1"/>
          </xdr:nvSpPr>
          <xdr:spPr>
            <a:xfrm>
              <a:off x="10999008" y="2869398"/>
              <a:ext cx="140249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𝑦_1=𝐶_𝑙𝑜𝑤1    𝑥_1+𝐷_𝑙𝑜𝑤1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736685</xdr:colOff>
      <xdr:row>16</xdr:row>
      <xdr:rowOff>156540</xdr:rowOff>
    </xdr:from>
    <xdr:ext cx="1533176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67923784-5DC4-4ECC-8930-4E0DAD90ABCC}"/>
                </a:ext>
              </a:extLst>
            </xdr:cNvPr>
            <xdr:cNvSpPr txBox="1"/>
          </xdr:nvSpPr>
          <xdr:spPr>
            <a:xfrm>
              <a:off x="10992309" y="3025246"/>
              <a:ext cx="15331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𝑙𝑜𝑤</m:t>
                        </m:r>
                        <m:r>
                          <a:rPr lang="fr-FR" sz="1100" b="0" i="1">
                            <a:solidFill>
                              <a:schemeClr val="bg1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fr-FR" sz="1100" b="0" i="1">
                        <a:solidFill>
                          <a:schemeClr val="bg1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    </m:t>
                    </m:r>
                  </m:oMath>
                </m:oMathPara>
              </a14:m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67923784-5DC4-4ECC-8930-4E0DAD90ABCC}"/>
                </a:ext>
              </a:extLst>
            </xdr:cNvPr>
            <xdr:cNvSpPr txBox="1"/>
          </xdr:nvSpPr>
          <xdr:spPr>
            <a:xfrm>
              <a:off x="10992309" y="3025246"/>
              <a:ext cx="153317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bg1">
                      <a:lumMod val="50000"/>
                    </a:schemeClr>
                  </a:solidFill>
                  <a:latin typeface="Cambria Math" panose="02040503050406030204" pitchFamily="18" charset="0"/>
                </a:rPr>
                <a:t>𝑦_2=𝐶_𝑙𝑜𝑤2    𝑥_2+𝐷_𝑙𝑜𝑤2     </a:t>
              </a:r>
              <a:endParaRPr lang="fr-F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9560-9B54-4C0B-9C54-E89D33F8AF9C}">
  <dimension ref="B1:Y89"/>
  <sheetViews>
    <sheetView zoomScaleNormal="100" workbookViewId="0">
      <selection activeCell="G8" sqref="G8"/>
    </sheetView>
  </sheetViews>
  <sheetFormatPr baseColWidth="10" defaultRowHeight="14.4" x14ac:dyDescent="0.3"/>
  <cols>
    <col min="18" max="18" width="24.88671875" customWidth="1"/>
  </cols>
  <sheetData>
    <row r="1" spans="2:25" ht="15" thickBot="1" x14ac:dyDescent="0.35"/>
    <row r="2" spans="2:25" x14ac:dyDescent="0.3">
      <c r="B2" s="26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8"/>
      <c r="R2" t="s">
        <v>61</v>
      </c>
      <c r="S2" s="5"/>
      <c r="T2" s="5"/>
      <c r="U2" s="5"/>
      <c r="V2" s="5"/>
      <c r="W2" s="5"/>
      <c r="X2" s="5"/>
      <c r="Y2" s="5"/>
    </row>
    <row r="3" spans="2:25" x14ac:dyDescent="0.3">
      <c r="B3" s="23" t="s">
        <v>63</v>
      </c>
      <c r="C3" s="24"/>
      <c r="D3" s="24" t="s">
        <v>64</v>
      </c>
      <c r="E3" s="24"/>
      <c r="F3" s="32" t="s">
        <v>65</v>
      </c>
      <c r="G3" s="33"/>
      <c r="H3" s="24" t="s">
        <v>66</v>
      </c>
      <c r="I3" s="24"/>
      <c r="J3" s="23" t="s">
        <v>67</v>
      </c>
      <c r="K3" s="24"/>
      <c r="L3" s="24" t="s">
        <v>68</v>
      </c>
      <c r="M3" s="24"/>
      <c r="N3" s="24" t="s">
        <v>69</v>
      </c>
      <c r="O3" s="24"/>
      <c r="P3" s="24" t="s">
        <v>70</v>
      </c>
      <c r="Q3" s="25"/>
      <c r="R3" t="s">
        <v>62</v>
      </c>
      <c r="U3" s="5"/>
      <c r="V3" s="5"/>
      <c r="W3" s="5"/>
      <c r="X3" s="5"/>
      <c r="Y3" s="5"/>
    </row>
    <row r="4" spans="2:25" x14ac:dyDescent="0.3">
      <c r="B4" s="7" t="s">
        <v>6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3</v>
      </c>
      <c r="H4" s="1" t="s">
        <v>4</v>
      </c>
      <c r="I4" s="1" t="s">
        <v>5</v>
      </c>
      <c r="J4" s="7" t="s">
        <v>6</v>
      </c>
      <c r="K4" s="1" t="s">
        <v>3</v>
      </c>
      <c r="L4" s="1" t="s">
        <v>4</v>
      </c>
      <c r="M4" s="1" t="s">
        <v>5</v>
      </c>
      <c r="N4" s="1" t="s">
        <v>6</v>
      </c>
      <c r="O4" s="1" t="s">
        <v>3</v>
      </c>
      <c r="P4" s="1" t="s">
        <v>4</v>
      </c>
      <c r="Q4" s="3" t="s">
        <v>5</v>
      </c>
      <c r="U4" s="5"/>
      <c r="V4" s="5"/>
      <c r="W4" s="5"/>
      <c r="X4" s="5"/>
      <c r="Y4" s="5"/>
    </row>
    <row r="5" spans="2:25" x14ac:dyDescent="0.3">
      <c r="B5" s="7">
        <v>40</v>
      </c>
      <c r="C5" s="6" t="e">
        <f>AVERAGE('Mesures Low1'!C$3:C$13)</f>
        <v>#DIV/0!</v>
      </c>
      <c r="D5" s="1"/>
      <c r="E5" s="6" t="e">
        <f>AVERAGE('Mesures Low1'!F$3:F$13)</f>
        <v>#DIV/0!</v>
      </c>
      <c r="F5" s="1"/>
      <c r="G5" s="6" t="e">
        <f>AVERAGE('Mesures Low1'!D$3:D$13)</f>
        <v>#DIV/0!</v>
      </c>
      <c r="H5" s="1"/>
      <c r="I5" s="6" t="e">
        <f>AVERAGE('Mesures Low1'!G$3:G$13)</f>
        <v>#DIV/0!</v>
      </c>
      <c r="J5" s="7">
        <v>40</v>
      </c>
      <c r="K5" s="6" t="e">
        <f>AVERAGE('Mesures Low2'!C$3:C$13)</f>
        <v>#DIV/0!</v>
      </c>
      <c r="L5" s="1"/>
      <c r="M5" s="6" t="e">
        <f>AVERAGE('Mesures Low2'!F$3:F$13)</f>
        <v>#DIV/0!</v>
      </c>
      <c r="N5" s="1"/>
      <c r="O5" s="6" t="e">
        <f>AVERAGE('Mesures Low2'!E$3:E$13)</f>
        <v>#DIV/0!</v>
      </c>
      <c r="P5" s="1"/>
      <c r="Q5" s="10" t="e">
        <f>AVERAGE('Mesures Low2'!H$3:H$13)</f>
        <v>#DIV/0!</v>
      </c>
      <c r="U5" s="5"/>
      <c r="V5" s="5"/>
      <c r="W5" s="5"/>
      <c r="X5" s="5"/>
      <c r="Y5" s="5"/>
    </row>
    <row r="6" spans="2:25" x14ac:dyDescent="0.3">
      <c r="B6" s="7">
        <v>45</v>
      </c>
      <c r="C6" s="6" t="e">
        <f>AVERAGE('Mesures Low1'!C$15:C$25)</f>
        <v>#DIV/0!</v>
      </c>
      <c r="D6" s="1"/>
      <c r="E6" s="6" t="e">
        <f>AVERAGE('Mesures Low1'!F$15:F$25)</f>
        <v>#DIV/0!</v>
      </c>
      <c r="F6" s="1"/>
      <c r="G6" s="6" t="e">
        <f>AVERAGE('Mesures Low1'!D$15:D$25)</f>
        <v>#DIV/0!</v>
      </c>
      <c r="H6" s="1"/>
      <c r="I6" s="6" t="e">
        <f>AVERAGE('Mesures Low1'!G$15:G$25)</f>
        <v>#DIV/0!</v>
      </c>
      <c r="J6" s="7">
        <v>45</v>
      </c>
      <c r="K6" s="6" t="e">
        <f>AVERAGE('Mesures Low2'!C$15:C$25)</f>
        <v>#DIV/0!</v>
      </c>
      <c r="L6" s="1"/>
      <c r="M6" s="6" t="e">
        <f>AVERAGE('Mesures Low2'!F$15:F$25)</f>
        <v>#DIV/0!</v>
      </c>
      <c r="N6" s="1"/>
      <c r="O6" s="6" t="e">
        <f>AVERAGE('Mesures Low2'!E$15:E$25)</f>
        <v>#DIV/0!</v>
      </c>
      <c r="P6" s="1"/>
      <c r="Q6" s="10" t="e">
        <f>AVERAGE('Mesures Low2'!H$15:H$25)</f>
        <v>#DIV/0!</v>
      </c>
      <c r="U6" s="5"/>
      <c r="V6" s="5"/>
      <c r="W6" s="5"/>
      <c r="X6" s="5"/>
      <c r="Y6" s="5"/>
    </row>
    <row r="7" spans="2:25" x14ac:dyDescent="0.3">
      <c r="B7" s="7">
        <v>50</v>
      </c>
      <c r="C7" s="6" t="e">
        <f>AVERAGE('Mesures Low1'!C$27:C$37)</f>
        <v>#DIV/0!</v>
      </c>
      <c r="D7" s="1"/>
      <c r="E7" s="6" t="e">
        <f>AVERAGE('Mesures Low1'!F$27:F$37)</f>
        <v>#DIV/0!</v>
      </c>
      <c r="F7" s="1"/>
      <c r="G7" s="6" t="e">
        <f>AVERAGE('Mesures Low1'!D$27:D$37)</f>
        <v>#DIV/0!</v>
      </c>
      <c r="H7" s="1"/>
      <c r="I7" s="6" t="e">
        <f>AVERAGE('Mesures Low1'!G$27:G$37)</f>
        <v>#DIV/0!</v>
      </c>
      <c r="J7" s="7">
        <v>50</v>
      </c>
      <c r="K7" s="6" t="e">
        <f>AVERAGE('Mesures Low2'!C$27:C$37)</f>
        <v>#DIV/0!</v>
      </c>
      <c r="L7" s="1"/>
      <c r="M7" s="6" t="e">
        <f>AVERAGE('Mesures Low2'!F$27:F$37)</f>
        <v>#DIV/0!</v>
      </c>
      <c r="N7" s="1"/>
      <c r="O7" s="6" t="e">
        <f>AVERAGE('Mesures Low2'!E$27:E$37)</f>
        <v>#DIV/0!</v>
      </c>
      <c r="P7" s="1"/>
      <c r="Q7" s="10" t="e">
        <f>AVERAGE('Mesures Low2'!H$27:H$37)</f>
        <v>#DIV/0!</v>
      </c>
      <c r="U7" s="5"/>
      <c r="V7" s="5"/>
      <c r="W7" s="5"/>
      <c r="X7" s="5"/>
      <c r="Y7" s="5"/>
    </row>
    <row r="8" spans="2:25" x14ac:dyDescent="0.3">
      <c r="B8" s="7">
        <v>55</v>
      </c>
      <c r="C8" s="6" t="e">
        <f>AVERAGE('Mesures Low1'!C$39:C$49)</f>
        <v>#DIV/0!</v>
      </c>
      <c r="D8" s="1"/>
      <c r="E8" s="6" t="e">
        <f>AVERAGE('Mesures Low1'!F$39:F$49)</f>
        <v>#DIV/0!</v>
      </c>
      <c r="F8" s="1"/>
      <c r="G8" s="6" t="e">
        <f>AVERAGE('Mesures Low1'!D$39:D$49)</f>
        <v>#DIV/0!</v>
      </c>
      <c r="H8" s="1"/>
      <c r="I8" s="6" t="e">
        <f>AVERAGE('Mesures Low1'!G$39:G$49)</f>
        <v>#DIV/0!</v>
      </c>
      <c r="J8" s="7">
        <v>55</v>
      </c>
      <c r="K8" s="6" t="e">
        <f>AVERAGE('Mesures Low2'!C$39:C$49)</f>
        <v>#DIV/0!</v>
      </c>
      <c r="L8" s="1"/>
      <c r="M8" s="6" t="e">
        <f>AVERAGE('Mesures Low2'!F$39:F$49)</f>
        <v>#DIV/0!</v>
      </c>
      <c r="N8" s="1"/>
      <c r="O8" s="6" t="e">
        <f>AVERAGE('Mesures Low2'!E$39:E$49)</f>
        <v>#DIV/0!</v>
      </c>
      <c r="P8" s="1"/>
      <c r="Q8" s="10" t="e">
        <f>AVERAGE('Mesures Low2'!H$39:H$49)</f>
        <v>#DIV/0!</v>
      </c>
      <c r="U8" s="5"/>
      <c r="V8" s="5"/>
      <c r="W8" s="5"/>
      <c r="X8" s="5"/>
      <c r="Y8" s="5"/>
    </row>
    <row r="9" spans="2:25" ht="15" thickBot="1" x14ac:dyDescent="0.35">
      <c r="B9" s="8">
        <v>60</v>
      </c>
      <c r="C9" s="11" t="e">
        <f>AVERAGE('Mesures Low1'!C$51:C$61)</f>
        <v>#DIV/0!</v>
      </c>
      <c r="D9" s="4"/>
      <c r="E9" s="11" t="e">
        <f>AVERAGE('Mesures Low1'!F$51:F$61)</f>
        <v>#DIV/0!</v>
      </c>
      <c r="F9" s="4"/>
      <c r="G9" s="11" t="e">
        <f>AVERAGE('Mesures Low1'!D$51:D$61)</f>
        <v>#DIV/0!</v>
      </c>
      <c r="H9" s="4"/>
      <c r="I9" s="11" t="e">
        <f>AVERAGE('Mesures Low1'!G$51:G$61)</f>
        <v>#DIV/0!</v>
      </c>
      <c r="J9" s="8">
        <v>60</v>
      </c>
      <c r="K9" s="11" t="e">
        <f>AVERAGE('Mesures Low2'!C$51:C$61)</f>
        <v>#DIV/0!</v>
      </c>
      <c r="L9" s="4"/>
      <c r="M9" s="11" t="e">
        <f>AVERAGE('Mesures Low2'!F$51:F$61)</f>
        <v>#DIV/0!</v>
      </c>
      <c r="N9" s="4"/>
      <c r="O9" s="11" t="e">
        <f>AVERAGE('Mesures Low2'!E$51:E$61)</f>
        <v>#DIV/0!</v>
      </c>
      <c r="P9" s="4"/>
      <c r="Q9" s="12" t="e">
        <f>AVERAGE('Mesures Low2'!H$51:H$61)</f>
        <v>#DIV/0!</v>
      </c>
      <c r="U9" s="5"/>
      <c r="V9" s="5"/>
      <c r="W9" s="5"/>
      <c r="X9" s="5"/>
      <c r="Y9" s="5"/>
    </row>
    <row r="10" spans="2:25" x14ac:dyDescent="0.3">
      <c r="B10" s="29" t="s">
        <v>7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1"/>
      <c r="S10" s="5"/>
      <c r="V10" s="5"/>
      <c r="W10" s="5"/>
      <c r="X10" s="5"/>
      <c r="Y10" s="5"/>
    </row>
    <row r="11" spans="2:25" x14ac:dyDescent="0.3">
      <c r="B11" s="23" t="s">
        <v>63</v>
      </c>
      <c r="C11" s="24"/>
      <c r="D11" s="24" t="s">
        <v>64</v>
      </c>
      <c r="E11" s="24"/>
      <c r="F11" s="24" t="s">
        <v>65</v>
      </c>
      <c r="G11" s="24"/>
      <c r="H11" s="24" t="s">
        <v>66</v>
      </c>
      <c r="I11" s="24"/>
      <c r="J11" s="23" t="s">
        <v>67</v>
      </c>
      <c r="K11" s="24"/>
      <c r="L11" s="24" t="s">
        <v>68</v>
      </c>
      <c r="M11" s="24"/>
      <c r="N11" s="24" t="s">
        <v>69</v>
      </c>
      <c r="O11" s="24"/>
      <c r="P11" s="24" t="s">
        <v>70</v>
      </c>
      <c r="Q11" s="25"/>
      <c r="S11" s="5"/>
      <c r="V11" s="5"/>
      <c r="W11" s="5"/>
      <c r="X11" s="5"/>
      <c r="Y11" s="5"/>
    </row>
    <row r="12" spans="2:25" x14ac:dyDescent="0.3">
      <c r="B12" s="2" t="s">
        <v>6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3</v>
      </c>
      <c r="H12" s="1" t="s">
        <v>4</v>
      </c>
      <c r="I12" s="1" t="s">
        <v>5</v>
      </c>
      <c r="J12" s="7" t="s">
        <v>6</v>
      </c>
      <c r="K12" s="1" t="s">
        <v>3</v>
      </c>
      <c r="L12" s="1" t="s">
        <v>4</v>
      </c>
      <c r="M12" s="1" t="s">
        <v>5</v>
      </c>
      <c r="N12" s="1" t="s">
        <v>6</v>
      </c>
      <c r="O12" s="1" t="s">
        <v>3</v>
      </c>
      <c r="P12" s="1" t="s">
        <v>4</v>
      </c>
      <c r="Q12" s="3" t="s">
        <v>5</v>
      </c>
      <c r="S12" s="5"/>
      <c r="V12" s="5"/>
      <c r="W12" s="5"/>
      <c r="X12" s="5"/>
      <c r="Y12" s="5"/>
    </row>
    <row r="13" spans="2:25" x14ac:dyDescent="0.3">
      <c r="B13" s="7">
        <v>40</v>
      </c>
      <c r="C13" s="6" t="e">
        <f>AVERAGE('Mesures Low1'!K$3:K$13)</f>
        <v>#DIV/0!</v>
      </c>
      <c r="D13" s="1"/>
      <c r="E13" s="6" t="e">
        <f>AVERAGE('Mesures Low1'!N$3:N$13)</f>
        <v>#DIV/0!</v>
      </c>
      <c r="F13" s="1"/>
      <c r="G13" s="6" t="e">
        <f>AVERAGE('Mesures Low1'!L$3:L$13)</f>
        <v>#DIV/0!</v>
      </c>
      <c r="H13" s="1"/>
      <c r="I13" s="6" t="e">
        <f>AVERAGE('Mesures Low1'!O$3:O$13)</f>
        <v>#DIV/0!</v>
      </c>
      <c r="J13" s="7">
        <v>40</v>
      </c>
      <c r="K13" s="6" t="e">
        <f>AVERAGE('Mesures Low2'!K$3:K$13)</f>
        <v>#DIV/0!</v>
      </c>
      <c r="L13" s="1"/>
      <c r="M13" s="6" t="e">
        <f>AVERAGE('Mesures Low2'!N$3:N$13)</f>
        <v>#DIV/0!</v>
      </c>
      <c r="N13" s="1"/>
      <c r="O13" s="6" t="e">
        <f>AVERAGE('Mesures Low2'!M$3:M$13)</f>
        <v>#DIV/0!</v>
      </c>
      <c r="P13" s="1"/>
      <c r="Q13" s="10" t="e">
        <f>AVERAGE('Mesures Low2'!P$3:P$13)</f>
        <v>#DIV/0!</v>
      </c>
      <c r="S13" s="5"/>
      <c r="V13" s="5"/>
      <c r="W13" s="5"/>
      <c r="X13" s="5"/>
      <c r="Y13" s="5"/>
    </row>
    <row r="14" spans="2:25" x14ac:dyDescent="0.3">
      <c r="B14" s="7">
        <v>45</v>
      </c>
      <c r="C14" s="6" t="e">
        <f>AVERAGE('Mesures Low1'!K$15:K$25)</f>
        <v>#DIV/0!</v>
      </c>
      <c r="D14" s="1"/>
      <c r="E14" s="6" t="e">
        <f>AVERAGE('Mesures Low1'!N$15:N$25)</f>
        <v>#DIV/0!</v>
      </c>
      <c r="F14" s="1"/>
      <c r="G14" s="6" t="e">
        <f>AVERAGE('Mesures Low1'!L$15:L$25)</f>
        <v>#DIV/0!</v>
      </c>
      <c r="H14" s="1"/>
      <c r="I14" s="6" t="e">
        <f>AVERAGE('Mesures Low1'!O$15:O$25)</f>
        <v>#DIV/0!</v>
      </c>
      <c r="J14" s="7">
        <v>45</v>
      </c>
      <c r="K14" s="6" t="e">
        <f>AVERAGE('Mesures Low2'!K$15:K$25)</f>
        <v>#DIV/0!</v>
      </c>
      <c r="L14" s="1"/>
      <c r="M14" s="6" t="e">
        <f>AVERAGE('Mesures Low2'!N$15:N$25)</f>
        <v>#DIV/0!</v>
      </c>
      <c r="N14" s="1"/>
      <c r="O14" s="6" t="e">
        <f>AVERAGE('Mesures Low2'!M$15:M$25)</f>
        <v>#DIV/0!</v>
      </c>
      <c r="P14" s="1"/>
      <c r="Q14" s="10" t="e">
        <f>AVERAGE('Mesures Low2'!P$15:P$25)</f>
        <v>#DIV/0!</v>
      </c>
      <c r="S14" s="5"/>
      <c r="V14" s="5"/>
      <c r="W14" s="5"/>
      <c r="X14" s="5"/>
      <c r="Y14" s="5"/>
    </row>
    <row r="15" spans="2:25" x14ac:dyDescent="0.3">
      <c r="B15" s="7">
        <v>50</v>
      </c>
      <c r="C15" s="6" t="e">
        <f>AVERAGE('Mesures Low1'!K$27:K$37)</f>
        <v>#DIV/0!</v>
      </c>
      <c r="D15" s="1"/>
      <c r="E15" s="6" t="e">
        <f>AVERAGE('Mesures Low1'!N$27:N$37)</f>
        <v>#DIV/0!</v>
      </c>
      <c r="F15" s="1"/>
      <c r="G15" s="6" t="e">
        <f>AVERAGE('Mesures Low1'!L$27:L$37)</f>
        <v>#DIV/0!</v>
      </c>
      <c r="H15" s="1"/>
      <c r="I15" s="6" t="e">
        <f>AVERAGE('Mesures Low1'!O$27:O$37)</f>
        <v>#DIV/0!</v>
      </c>
      <c r="J15" s="7">
        <v>50</v>
      </c>
      <c r="K15" s="6" t="e">
        <f>AVERAGE('Mesures Low2'!K$27:K$37)</f>
        <v>#DIV/0!</v>
      </c>
      <c r="L15" s="1"/>
      <c r="M15" s="6" t="e">
        <f>AVERAGE('Mesures Low2'!N$27:N$37)</f>
        <v>#DIV/0!</v>
      </c>
      <c r="N15" s="1"/>
      <c r="O15" s="6" t="e">
        <f>AVERAGE('Mesures Low2'!M$27:M$37)</f>
        <v>#DIV/0!</v>
      </c>
      <c r="P15" s="1"/>
      <c r="Q15" s="10" t="e">
        <f>AVERAGE('Mesures Low2'!P$27:P$37)</f>
        <v>#DIV/0!</v>
      </c>
      <c r="S15" s="5"/>
      <c r="V15" s="5"/>
      <c r="W15" s="5"/>
      <c r="X15" s="5"/>
      <c r="Y15" s="5"/>
    </row>
    <row r="16" spans="2:25" x14ac:dyDescent="0.3">
      <c r="B16" s="7">
        <v>55</v>
      </c>
      <c r="C16" s="6" t="e">
        <f>AVERAGE('Mesures Low1'!K$39:K$49)</f>
        <v>#DIV/0!</v>
      </c>
      <c r="D16" s="1"/>
      <c r="E16" s="6" t="e">
        <f>AVERAGE('Mesures Low1'!N$39:N$49)</f>
        <v>#DIV/0!</v>
      </c>
      <c r="F16" s="1"/>
      <c r="G16" s="6" t="e">
        <f>AVERAGE('Mesures Low1'!L$39:L$49)</f>
        <v>#DIV/0!</v>
      </c>
      <c r="H16" s="1"/>
      <c r="I16" s="6" t="e">
        <f>AVERAGE('Mesures Low1'!O$39:O$49)</f>
        <v>#DIV/0!</v>
      </c>
      <c r="J16" s="7">
        <v>55</v>
      </c>
      <c r="K16" s="6" t="e">
        <f>AVERAGE('Mesures Low2'!K$39:K$49)</f>
        <v>#DIV/0!</v>
      </c>
      <c r="L16" s="1"/>
      <c r="M16" s="6" t="e">
        <f>AVERAGE('Mesures Low2'!N$39:N$49)</f>
        <v>#DIV/0!</v>
      </c>
      <c r="N16" s="1"/>
      <c r="O16" s="6" t="e">
        <f>AVERAGE('Mesures Low2'!M$39:M$49)</f>
        <v>#DIV/0!</v>
      </c>
      <c r="P16" s="1"/>
      <c r="Q16" s="10" t="e">
        <f>AVERAGE('Mesures Low2'!P$39:P$49)</f>
        <v>#DIV/0!</v>
      </c>
      <c r="S16" s="5"/>
      <c r="V16" s="5"/>
      <c r="W16" s="5"/>
      <c r="X16" s="5"/>
      <c r="Y16" s="5"/>
    </row>
    <row r="17" spans="2:25" ht="15" thickBot="1" x14ac:dyDescent="0.35">
      <c r="B17" s="8">
        <v>60</v>
      </c>
      <c r="C17" s="11" t="e">
        <f>AVERAGE('Mesures Low1'!K$51:K$61)</f>
        <v>#DIV/0!</v>
      </c>
      <c r="D17" s="1"/>
      <c r="E17" s="11" t="e">
        <f>AVERAGE('Mesures Low1'!N$51:N$61)</f>
        <v>#DIV/0!</v>
      </c>
      <c r="F17" s="4"/>
      <c r="G17" s="11" t="e">
        <f>AVERAGE('Mesures Low1'!L$51:L$61)</f>
        <v>#DIV/0!</v>
      </c>
      <c r="H17" s="4"/>
      <c r="I17" s="11" t="e">
        <f>AVERAGE('Mesures Low1'!O$51:O$61)</f>
        <v>#DIV/0!</v>
      </c>
      <c r="J17" s="8">
        <v>60</v>
      </c>
      <c r="K17" s="11" t="e">
        <f>AVERAGE('Mesures Low2'!K$51:K$61)</f>
        <v>#DIV/0!</v>
      </c>
      <c r="L17" s="4"/>
      <c r="M17" s="11" t="e">
        <f>AVERAGE('Mesures Low2'!N$51:N$61)</f>
        <v>#DIV/0!</v>
      </c>
      <c r="N17" s="4"/>
      <c r="O17" s="11" t="e">
        <f>AVERAGE('Mesures Low2'!M$51:M$61)</f>
        <v>#DIV/0!</v>
      </c>
      <c r="P17" s="4"/>
      <c r="Q17" s="12" t="e">
        <f>AVERAGE('Mesures Low2'!P$51:P$61)</f>
        <v>#DIV/0!</v>
      </c>
      <c r="S17" s="5"/>
      <c r="T17" s="5"/>
      <c r="U17" s="5"/>
      <c r="V17" s="5"/>
      <c r="W17" s="5"/>
      <c r="X17" s="5"/>
      <c r="Y17" s="5"/>
    </row>
    <row r="18" spans="2:25" x14ac:dyDescent="0.3">
      <c r="B18" s="34" t="s">
        <v>8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6"/>
      <c r="S18" s="5"/>
      <c r="T18" s="5"/>
      <c r="U18" s="5"/>
      <c r="V18" s="5"/>
      <c r="W18" s="5"/>
      <c r="X18" s="5"/>
      <c r="Y18" s="5"/>
    </row>
    <row r="19" spans="2:25" x14ac:dyDescent="0.3">
      <c r="B19" s="23" t="s">
        <v>63</v>
      </c>
      <c r="C19" s="24"/>
      <c r="D19" s="24" t="s">
        <v>64</v>
      </c>
      <c r="E19" s="24"/>
      <c r="F19" s="24" t="s">
        <v>65</v>
      </c>
      <c r="G19" s="24"/>
      <c r="H19" s="24" t="s">
        <v>66</v>
      </c>
      <c r="I19" s="24"/>
      <c r="J19" s="23" t="s">
        <v>67</v>
      </c>
      <c r="K19" s="24"/>
      <c r="L19" s="24" t="s">
        <v>68</v>
      </c>
      <c r="M19" s="24"/>
      <c r="N19" s="24" t="s">
        <v>69</v>
      </c>
      <c r="O19" s="24"/>
      <c r="P19" s="24" t="s">
        <v>70</v>
      </c>
      <c r="Q19" s="25"/>
      <c r="S19" s="5"/>
      <c r="T19" s="5"/>
      <c r="W19" s="5"/>
      <c r="X19" s="5"/>
      <c r="Y19" s="5"/>
    </row>
    <row r="20" spans="2:25" x14ac:dyDescent="0.3">
      <c r="B20" s="2" t="s">
        <v>6</v>
      </c>
      <c r="C20" s="1" t="s">
        <v>3</v>
      </c>
      <c r="D20" s="1" t="s">
        <v>4</v>
      </c>
      <c r="E20" s="1" t="s">
        <v>5</v>
      </c>
      <c r="F20" s="1" t="s">
        <v>6</v>
      </c>
      <c r="G20" s="1" t="s">
        <v>3</v>
      </c>
      <c r="H20" s="1" t="s">
        <v>4</v>
      </c>
      <c r="I20" s="1" t="s">
        <v>5</v>
      </c>
      <c r="J20" s="7" t="s">
        <v>6</v>
      </c>
      <c r="K20" s="1" t="s">
        <v>3</v>
      </c>
      <c r="L20" s="1" t="s">
        <v>4</v>
      </c>
      <c r="M20" s="1" t="s">
        <v>5</v>
      </c>
      <c r="N20" s="1" t="s">
        <v>6</v>
      </c>
      <c r="O20" s="1" t="s">
        <v>3</v>
      </c>
      <c r="P20" s="1" t="s">
        <v>4</v>
      </c>
      <c r="Q20" s="3" t="s">
        <v>5</v>
      </c>
      <c r="S20" s="5"/>
      <c r="T20" s="5"/>
      <c r="W20" s="5"/>
      <c r="X20" s="5"/>
      <c r="Y20" s="5"/>
    </row>
    <row r="21" spans="2:25" x14ac:dyDescent="0.3">
      <c r="B21" s="7">
        <v>40</v>
      </c>
      <c r="C21" s="6" t="e">
        <f>AVERAGE('Mesures Low1'!S$3:S$13)</f>
        <v>#DIV/0!</v>
      </c>
      <c r="D21" s="1"/>
      <c r="E21" s="6" t="e">
        <f>AVERAGE('Mesures Low1'!V$3:V$13)</f>
        <v>#DIV/0!</v>
      </c>
      <c r="F21" s="1"/>
      <c r="G21" s="6" t="e">
        <f>AVERAGE('Mesures Low1'!T$3:T$13)</f>
        <v>#DIV/0!</v>
      </c>
      <c r="H21" s="1"/>
      <c r="I21" s="6" t="e">
        <f>AVERAGE('Mesures Low1'!W$3:W$13)</f>
        <v>#DIV/0!</v>
      </c>
      <c r="J21" s="7">
        <v>40</v>
      </c>
      <c r="K21" s="6" t="e">
        <f>AVERAGE('Mesures Low2'!S$3:S$13)</f>
        <v>#DIV/0!</v>
      </c>
      <c r="L21" s="1"/>
      <c r="M21" s="6" t="e">
        <f>AVERAGE('Mesures Low2'!V$3:V$13)</f>
        <v>#DIV/0!</v>
      </c>
      <c r="N21" s="1"/>
      <c r="O21" s="6" t="e">
        <f>AVERAGE('Mesures Low2'!U$3:U$13)</f>
        <v>#DIV/0!</v>
      </c>
      <c r="P21" s="1"/>
      <c r="Q21" s="10" t="e">
        <f>AVERAGE('Mesures Low2'!X$3:X$13)</f>
        <v>#DIV/0!</v>
      </c>
      <c r="S21" s="5"/>
      <c r="T21" s="5"/>
      <c r="W21" s="5"/>
      <c r="X21" s="5"/>
      <c r="Y21" s="5"/>
    </row>
    <row r="22" spans="2:25" x14ac:dyDescent="0.3">
      <c r="B22" s="7">
        <v>45</v>
      </c>
      <c r="C22" s="6" t="e">
        <f>AVERAGE('Mesures Low1'!S$15:S$25)</f>
        <v>#DIV/0!</v>
      </c>
      <c r="D22" s="1"/>
      <c r="E22" s="6" t="e">
        <f>AVERAGE('Mesures Low1'!V$15:V$25)</f>
        <v>#DIV/0!</v>
      </c>
      <c r="F22" s="1"/>
      <c r="G22" s="6" t="e">
        <f>AVERAGE('Mesures Low1'!T$15:T$25)</f>
        <v>#DIV/0!</v>
      </c>
      <c r="H22" s="1"/>
      <c r="I22" s="6" t="e">
        <f>AVERAGE('Mesures Low1'!W$15:W$25)</f>
        <v>#DIV/0!</v>
      </c>
      <c r="J22" s="7">
        <v>45</v>
      </c>
      <c r="K22" s="6" t="e">
        <f>AVERAGE('Mesures Low2'!S$15:S$25)</f>
        <v>#DIV/0!</v>
      </c>
      <c r="L22" s="1"/>
      <c r="M22" s="6" t="e">
        <f>AVERAGE('Mesures Low2'!V$15:V$25)</f>
        <v>#DIV/0!</v>
      </c>
      <c r="N22" s="1"/>
      <c r="O22" s="6" t="e">
        <f>AVERAGE('Mesures Low2'!U$15:U$25)</f>
        <v>#DIV/0!</v>
      </c>
      <c r="P22" s="1"/>
      <c r="Q22" s="10" t="e">
        <f>AVERAGE('Mesures Low2'!X$15:X$25)</f>
        <v>#DIV/0!</v>
      </c>
      <c r="S22" s="5"/>
      <c r="T22" s="5"/>
      <c r="W22" s="5"/>
      <c r="X22" s="5"/>
      <c r="Y22" s="5"/>
    </row>
    <row r="23" spans="2:25" x14ac:dyDescent="0.3">
      <c r="B23" s="7">
        <v>50</v>
      </c>
      <c r="C23" s="6" t="e">
        <f>AVERAGE('Mesures Low1'!S$27:S$37)</f>
        <v>#DIV/0!</v>
      </c>
      <c r="D23" s="1"/>
      <c r="E23" s="6" t="e">
        <f>AVERAGE('Mesures Low1'!V$27:V$37)</f>
        <v>#DIV/0!</v>
      </c>
      <c r="F23" s="1"/>
      <c r="G23" s="6" t="e">
        <f>AVERAGE('Mesures Low1'!T$27:T$37)</f>
        <v>#DIV/0!</v>
      </c>
      <c r="H23" s="1"/>
      <c r="I23" s="6" t="e">
        <f>AVERAGE('Mesures Low1'!W$27:W$37)</f>
        <v>#DIV/0!</v>
      </c>
      <c r="J23" s="7">
        <v>50</v>
      </c>
      <c r="K23" s="6" t="e">
        <f>AVERAGE('Mesures Low2'!S$27:S$37)</f>
        <v>#DIV/0!</v>
      </c>
      <c r="L23" s="1"/>
      <c r="M23" s="6" t="e">
        <f>AVERAGE('Mesures Low2'!V$27:V$37)</f>
        <v>#DIV/0!</v>
      </c>
      <c r="N23" s="1"/>
      <c r="O23" s="6" t="e">
        <f>AVERAGE('Mesures Low2'!U$27:U$37)</f>
        <v>#DIV/0!</v>
      </c>
      <c r="P23" s="1"/>
      <c r="Q23" s="10" t="e">
        <f>AVERAGE('Mesures Low2'!X$27:X$37)</f>
        <v>#DIV/0!</v>
      </c>
      <c r="S23" s="5"/>
      <c r="T23" s="5"/>
      <c r="W23" s="5"/>
      <c r="X23" s="5"/>
      <c r="Y23" s="5"/>
    </row>
    <row r="24" spans="2:25" x14ac:dyDescent="0.3">
      <c r="B24" s="7">
        <v>55</v>
      </c>
      <c r="C24" s="6" t="e">
        <f>AVERAGE('Mesures Low1'!S$39:S$49)</f>
        <v>#DIV/0!</v>
      </c>
      <c r="D24" s="1"/>
      <c r="E24" s="6" t="e">
        <f>AVERAGE('Mesures Low1'!V$39:V$49)</f>
        <v>#DIV/0!</v>
      </c>
      <c r="F24" s="1"/>
      <c r="G24" s="6" t="e">
        <f>AVERAGE('Mesures Low1'!T$39:T$49)</f>
        <v>#DIV/0!</v>
      </c>
      <c r="H24" s="1"/>
      <c r="I24" s="6" t="e">
        <f>AVERAGE('Mesures Low1'!W$39:W$49)</f>
        <v>#DIV/0!</v>
      </c>
      <c r="J24" s="7">
        <v>55</v>
      </c>
      <c r="K24" s="6" t="e">
        <f>AVERAGE('Mesures Low2'!S$39:S$49)</f>
        <v>#DIV/0!</v>
      </c>
      <c r="L24" s="1"/>
      <c r="M24" s="6" t="e">
        <f>AVERAGE('Mesures Low2'!V$39:V$49)</f>
        <v>#DIV/0!</v>
      </c>
      <c r="N24" s="1"/>
      <c r="O24" s="6" t="e">
        <f>AVERAGE('Mesures Low2'!U$39:U$49)</f>
        <v>#DIV/0!</v>
      </c>
      <c r="P24" s="1"/>
      <c r="Q24" s="10" t="e">
        <f>AVERAGE('Mesures Low2'!X$39:X$49)</f>
        <v>#DIV/0!</v>
      </c>
      <c r="S24" s="5"/>
      <c r="T24" s="5"/>
      <c r="W24" s="5"/>
      <c r="X24" s="5"/>
      <c r="Y24" s="5"/>
    </row>
    <row r="25" spans="2:25" ht="15" thickBot="1" x14ac:dyDescent="0.35">
      <c r="B25" s="8">
        <v>60</v>
      </c>
      <c r="C25" s="11" t="e">
        <f>AVERAGE('Mesures Low1'!S$51:S$61)</f>
        <v>#DIV/0!</v>
      </c>
      <c r="D25" s="4"/>
      <c r="E25" s="11" t="e">
        <f>AVERAGE('Mesures Low1'!V$51:V$61)</f>
        <v>#DIV/0!</v>
      </c>
      <c r="F25" s="4"/>
      <c r="G25" s="11" t="e">
        <f>AVERAGE('Mesures Low1'!T$51:T$61)</f>
        <v>#DIV/0!</v>
      </c>
      <c r="H25" s="4"/>
      <c r="I25" s="11" t="e">
        <f>AVERAGE('Mesures Low1'!W$51:W$61)</f>
        <v>#DIV/0!</v>
      </c>
      <c r="J25" s="8">
        <v>60</v>
      </c>
      <c r="K25" s="11" t="e">
        <f>AVERAGE('Mesures Low2'!S$51:S$61)</f>
        <v>#DIV/0!</v>
      </c>
      <c r="L25" s="4"/>
      <c r="M25" s="11" t="e">
        <f>AVERAGE('Mesures Low2'!V$51:V$61)</f>
        <v>#DIV/0!</v>
      </c>
      <c r="N25" s="4"/>
      <c r="O25" s="11" t="e">
        <f>AVERAGE('Mesures Low2'!U$51:U$61)</f>
        <v>#DIV/0!</v>
      </c>
      <c r="P25" s="4"/>
      <c r="Q25" s="12" t="e">
        <f>AVERAGE('Mesures Low2'!X$51:X$61)</f>
        <v>#DIV/0!</v>
      </c>
      <c r="S25" s="5"/>
      <c r="T25" s="5"/>
      <c r="W25" s="5"/>
      <c r="X25" s="5"/>
      <c r="Y25" s="5"/>
    </row>
    <row r="26" spans="2:25" x14ac:dyDescent="0.3">
      <c r="B26" s="37" t="s">
        <v>9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9"/>
      <c r="S26" s="5"/>
      <c r="T26" s="5"/>
      <c r="U26" s="5"/>
      <c r="V26" s="5"/>
      <c r="W26" s="5"/>
      <c r="X26" s="5"/>
      <c r="Y26" s="5"/>
    </row>
    <row r="27" spans="2:25" x14ac:dyDescent="0.3">
      <c r="B27" s="23" t="s">
        <v>63</v>
      </c>
      <c r="C27" s="24"/>
      <c r="D27" s="24" t="s">
        <v>64</v>
      </c>
      <c r="E27" s="24"/>
      <c r="F27" s="24" t="s">
        <v>65</v>
      </c>
      <c r="G27" s="24"/>
      <c r="H27" s="24" t="s">
        <v>66</v>
      </c>
      <c r="I27" s="24"/>
      <c r="J27" s="23" t="s">
        <v>67</v>
      </c>
      <c r="K27" s="24"/>
      <c r="L27" s="24" t="s">
        <v>68</v>
      </c>
      <c r="M27" s="24"/>
      <c r="N27" s="24" t="s">
        <v>69</v>
      </c>
      <c r="O27" s="24"/>
      <c r="P27" s="24" t="s">
        <v>70</v>
      </c>
      <c r="Q27" s="25"/>
      <c r="S27" s="5"/>
      <c r="V27" s="5"/>
      <c r="W27" s="5"/>
      <c r="X27" s="5"/>
      <c r="Y27" s="5"/>
    </row>
    <row r="28" spans="2:25" x14ac:dyDescent="0.3">
      <c r="B28" s="2" t="s">
        <v>6</v>
      </c>
      <c r="C28" s="1" t="s">
        <v>3</v>
      </c>
      <c r="D28" s="1" t="s">
        <v>4</v>
      </c>
      <c r="E28" s="1" t="s">
        <v>5</v>
      </c>
      <c r="F28" s="1" t="s">
        <v>6</v>
      </c>
      <c r="G28" s="1" t="s">
        <v>3</v>
      </c>
      <c r="H28" s="1" t="s">
        <v>4</v>
      </c>
      <c r="I28" s="1" t="s">
        <v>5</v>
      </c>
      <c r="J28" s="7" t="s">
        <v>6</v>
      </c>
      <c r="K28" s="1" t="s">
        <v>3</v>
      </c>
      <c r="L28" s="1" t="s">
        <v>4</v>
      </c>
      <c r="M28" s="1" t="s">
        <v>5</v>
      </c>
      <c r="N28" s="1" t="s">
        <v>6</v>
      </c>
      <c r="O28" s="1" t="s">
        <v>3</v>
      </c>
      <c r="P28" s="1" t="s">
        <v>4</v>
      </c>
      <c r="Q28" s="3" t="s">
        <v>5</v>
      </c>
      <c r="S28" s="5"/>
      <c r="V28" s="5"/>
      <c r="W28" s="5"/>
      <c r="X28" s="5"/>
      <c r="Y28" s="5"/>
    </row>
    <row r="29" spans="2:25" x14ac:dyDescent="0.3">
      <c r="B29" s="7">
        <v>40</v>
      </c>
      <c r="C29" s="6" t="e">
        <f>AVERAGE('Mesures Low1'!AA$3:AA$13)</f>
        <v>#DIV/0!</v>
      </c>
      <c r="D29" s="1"/>
      <c r="E29" s="6" t="e">
        <f>AVERAGE('Mesures Low1'!AD$3:AD$13)</f>
        <v>#DIV/0!</v>
      </c>
      <c r="F29" s="1"/>
      <c r="G29" s="6" t="e">
        <f>AVERAGE('Mesures Low1'!AB$3:AB$13)</f>
        <v>#DIV/0!</v>
      </c>
      <c r="H29" s="1"/>
      <c r="I29" s="6" t="e">
        <f>AVERAGE('Mesures Low1'!AE$3:AE$13)</f>
        <v>#DIV/0!</v>
      </c>
      <c r="J29" s="7">
        <v>40</v>
      </c>
      <c r="K29" s="6" t="e">
        <f>AVERAGE('Mesures Low2'!AA$3:AA$13)</f>
        <v>#DIV/0!</v>
      </c>
      <c r="L29" s="1"/>
      <c r="M29" s="6" t="e">
        <f>AVERAGE('Mesures Low2'!AD$3:AD$13)</f>
        <v>#DIV/0!</v>
      </c>
      <c r="N29" s="1"/>
      <c r="O29" s="6" t="e">
        <f>AVERAGE('Mesures Low2'!AC$3:AC$13)</f>
        <v>#DIV/0!</v>
      </c>
      <c r="P29" s="1"/>
      <c r="Q29" s="10" t="e">
        <f>AVERAGE('Mesures Low2'!AF$3:AF$13)</f>
        <v>#DIV/0!</v>
      </c>
      <c r="S29" s="5"/>
      <c r="V29" s="5"/>
      <c r="W29" s="5"/>
      <c r="X29" s="5"/>
      <c r="Y29" s="5"/>
    </row>
    <row r="30" spans="2:25" x14ac:dyDescent="0.3">
      <c r="B30" s="7">
        <v>45</v>
      </c>
      <c r="C30" s="6" t="e">
        <f>AVERAGE('Mesures Low1'!AA$15:AA$25)</f>
        <v>#DIV/0!</v>
      </c>
      <c r="D30" s="1"/>
      <c r="E30" s="6" t="e">
        <f>AVERAGE('Mesures Low1'!AD$15:AD$25)</f>
        <v>#DIV/0!</v>
      </c>
      <c r="F30" s="1"/>
      <c r="G30" s="6" t="e">
        <f>AVERAGE('Mesures Low1'!AB$15:AB$25)</f>
        <v>#DIV/0!</v>
      </c>
      <c r="H30" s="1"/>
      <c r="I30" s="6" t="e">
        <f>AVERAGE('Mesures Low1'!AE$15:AE$25)</f>
        <v>#DIV/0!</v>
      </c>
      <c r="J30" s="7">
        <v>45</v>
      </c>
      <c r="K30" s="6" t="e">
        <f>AVERAGE('Mesures Low2'!AA$15:AA$25)</f>
        <v>#DIV/0!</v>
      </c>
      <c r="L30" s="1"/>
      <c r="M30" s="6" t="e">
        <f>AVERAGE('Mesures Low2'!AD$15:AD$25)</f>
        <v>#DIV/0!</v>
      </c>
      <c r="N30" s="1"/>
      <c r="O30" s="6" t="e">
        <f>AVERAGE('Mesures Low2'!AC$15:AC$25)</f>
        <v>#DIV/0!</v>
      </c>
      <c r="P30" s="1"/>
      <c r="Q30" s="10" t="e">
        <f>AVERAGE('Mesures Low2'!AF$15:AF$25)</f>
        <v>#DIV/0!</v>
      </c>
      <c r="S30" s="5"/>
      <c r="V30" s="5"/>
      <c r="W30" s="5"/>
      <c r="X30" s="5"/>
      <c r="Y30" s="5"/>
    </row>
    <row r="31" spans="2:25" x14ac:dyDescent="0.3">
      <c r="B31" s="7">
        <v>50</v>
      </c>
      <c r="C31" s="6" t="e">
        <f>AVERAGE('Mesures Low1'!AA$27:AA$37)</f>
        <v>#DIV/0!</v>
      </c>
      <c r="D31" s="1"/>
      <c r="E31" s="6" t="e">
        <f>AVERAGE('Mesures Low1'!AD$27:AD$37)</f>
        <v>#DIV/0!</v>
      </c>
      <c r="F31" s="1"/>
      <c r="G31" s="6" t="e">
        <f>AVERAGE('Mesures Low1'!AB$27:AB$37)</f>
        <v>#DIV/0!</v>
      </c>
      <c r="H31" s="1"/>
      <c r="I31" s="6" t="e">
        <f>AVERAGE('Mesures Low1'!AE$27:AE$37)</f>
        <v>#DIV/0!</v>
      </c>
      <c r="J31" s="7">
        <v>50</v>
      </c>
      <c r="K31" s="6" t="e">
        <f>AVERAGE('Mesures Low2'!AA$27:AA$37)</f>
        <v>#DIV/0!</v>
      </c>
      <c r="L31" s="1"/>
      <c r="M31" s="6" t="e">
        <f>AVERAGE('Mesures Low2'!AD$27:AD$37)</f>
        <v>#DIV/0!</v>
      </c>
      <c r="N31" s="1"/>
      <c r="O31" s="6" t="e">
        <f>AVERAGE('Mesures Low2'!AC$27:AC$37)</f>
        <v>#DIV/0!</v>
      </c>
      <c r="P31" s="1"/>
      <c r="Q31" s="10" t="e">
        <f>AVERAGE('Mesures Low2'!AF$27:AF$37)</f>
        <v>#DIV/0!</v>
      </c>
      <c r="S31" s="5"/>
      <c r="V31" s="5"/>
      <c r="W31" s="5"/>
      <c r="X31" s="5"/>
      <c r="Y31" s="5"/>
    </row>
    <row r="32" spans="2:25" x14ac:dyDescent="0.3">
      <c r="B32" s="7">
        <v>55</v>
      </c>
      <c r="C32" s="6" t="e">
        <f>AVERAGE('Mesures Low1'!AA$39:AA$49)</f>
        <v>#DIV/0!</v>
      </c>
      <c r="D32" s="1"/>
      <c r="E32" s="6" t="e">
        <f>AVERAGE('Mesures Low1'!AD$39:AD$49)</f>
        <v>#DIV/0!</v>
      </c>
      <c r="F32" s="1"/>
      <c r="G32" s="6" t="e">
        <f>AVERAGE('Mesures Low1'!AB$39:AB$49)</f>
        <v>#DIV/0!</v>
      </c>
      <c r="H32" s="1"/>
      <c r="I32" s="6" t="e">
        <f>AVERAGE('Mesures Low1'!AE$39:AE$49)</f>
        <v>#DIV/0!</v>
      </c>
      <c r="J32" s="7">
        <v>55</v>
      </c>
      <c r="K32" s="6" t="e">
        <f>AVERAGE('Mesures Low2'!AA$39:AA$49)</f>
        <v>#DIV/0!</v>
      </c>
      <c r="L32" s="1"/>
      <c r="M32" s="6" t="e">
        <f>AVERAGE('Mesures Low2'!AD$39:AD$49)</f>
        <v>#DIV/0!</v>
      </c>
      <c r="N32" s="1"/>
      <c r="O32" s="6" t="e">
        <f>AVERAGE('Mesures Low2'!AC$39:AC$49)</f>
        <v>#DIV/0!</v>
      </c>
      <c r="P32" s="1"/>
      <c r="Q32" s="10" t="e">
        <f>AVERAGE('Mesures Low2'!AF$39:AF$49)</f>
        <v>#DIV/0!</v>
      </c>
      <c r="S32" s="5"/>
      <c r="V32" s="5"/>
      <c r="W32" s="5"/>
      <c r="X32" s="5"/>
      <c r="Y32" s="5"/>
    </row>
    <row r="33" spans="2:25" ht="15" thickBot="1" x14ac:dyDescent="0.35">
      <c r="B33" s="8">
        <v>60</v>
      </c>
      <c r="C33" s="11" t="e">
        <f>AVERAGE('Mesures Low1'!AA$51:AA$61)</f>
        <v>#DIV/0!</v>
      </c>
      <c r="D33" s="4"/>
      <c r="E33" s="11" t="e">
        <f>AVERAGE('Mesures Low1'!AD$51:AD$61)</f>
        <v>#DIV/0!</v>
      </c>
      <c r="F33" s="4"/>
      <c r="G33" s="11" t="e">
        <f>AVERAGE('Mesures Low1'!AB$51:AB$61)</f>
        <v>#DIV/0!</v>
      </c>
      <c r="H33" s="4"/>
      <c r="I33" s="11" t="e">
        <f>AVERAGE('Mesures Low1'!AE$51:AE$61)</f>
        <v>#DIV/0!</v>
      </c>
      <c r="J33" s="8">
        <v>60</v>
      </c>
      <c r="K33" s="11" t="e">
        <f>AVERAGE('Mesures Low2'!AA$51:AA$61)</f>
        <v>#DIV/0!</v>
      </c>
      <c r="L33" s="4"/>
      <c r="M33" s="11" t="e">
        <f>AVERAGE('Mesures Low2'!AD$51:AD$61)</f>
        <v>#DIV/0!</v>
      </c>
      <c r="N33" s="4"/>
      <c r="O33" s="11" t="e">
        <f>AVERAGE('Mesures Low2'!AC$51:AC$61)</f>
        <v>#DIV/0!</v>
      </c>
      <c r="P33" s="4"/>
      <c r="Q33" s="12" t="e">
        <f>AVERAGE('Mesures Low2'!AF$51:AF$61)</f>
        <v>#DIV/0!</v>
      </c>
      <c r="S33" s="5"/>
      <c r="V33" s="5"/>
      <c r="W33" s="5"/>
      <c r="X33" s="5"/>
      <c r="Y33" s="5"/>
    </row>
    <row r="34" spans="2:25" x14ac:dyDescent="0.3">
      <c r="B34" s="20" t="s">
        <v>10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2"/>
      <c r="S34" s="5"/>
      <c r="T34" s="5"/>
      <c r="U34" s="5"/>
      <c r="V34" s="5"/>
      <c r="W34" s="5"/>
      <c r="X34" s="5"/>
      <c r="Y34" s="5"/>
    </row>
    <row r="35" spans="2:25" x14ac:dyDescent="0.3">
      <c r="B35" s="23" t="s">
        <v>63</v>
      </c>
      <c r="C35" s="24"/>
      <c r="D35" s="24" t="s">
        <v>64</v>
      </c>
      <c r="E35" s="24"/>
      <c r="F35" s="24" t="s">
        <v>65</v>
      </c>
      <c r="G35" s="24"/>
      <c r="H35" s="24" t="s">
        <v>66</v>
      </c>
      <c r="I35" s="24"/>
      <c r="J35" s="23" t="s">
        <v>67</v>
      </c>
      <c r="K35" s="24"/>
      <c r="L35" s="24" t="s">
        <v>68</v>
      </c>
      <c r="M35" s="24"/>
      <c r="N35" s="24" t="s">
        <v>69</v>
      </c>
      <c r="O35" s="24"/>
      <c r="P35" s="24" t="s">
        <v>70</v>
      </c>
      <c r="Q35" s="25"/>
      <c r="U35" s="5"/>
      <c r="V35" s="5"/>
      <c r="W35" s="5"/>
      <c r="X35" s="5"/>
      <c r="Y35" s="5"/>
    </row>
    <row r="36" spans="2:25" x14ac:dyDescent="0.3">
      <c r="B36" s="2" t="s">
        <v>6</v>
      </c>
      <c r="C36" s="1" t="s">
        <v>3</v>
      </c>
      <c r="D36" s="1" t="s">
        <v>4</v>
      </c>
      <c r="E36" s="1" t="s">
        <v>5</v>
      </c>
      <c r="F36" s="1" t="s">
        <v>6</v>
      </c>
      <c r="G36" s="1" t="s">
        <v>3</v>
      </c>
      <c r="H36" s="1" t="s">
        <v>4</v>
      </c>
      <c r="I36" s="1" t="s">
        <v>5</v>
      </c>
      <c r="J36" s="7" t="s">
        <v>6</v>
      </c>
      <c r="K36" s="1" t="s">
        <v>3</v>
      </c>
      <c r="L36" s="1" t="s">
        <v>4</v>
      </c>
      <c r="M36" s="1" t="s">
        <v>5</v>
      </c>
      <c r="N36" s="1" t="s">
        <v>6</v>
      </c>
      <c r="O36" s="1" t="s">
        <v>3</v>
      </c>
      <c r="P36" s="1" t="s">
        <v>4</v>
      </c>
      <c r="Q36" s="3" t="s">
        <v>5</v>
      </c>
      <c r="U36" s="5"/>
      <c r="V36" s="5"/>
      <c r="W36" s="5"/>
      <c r="X36" s="5"/>
      <c r="Y36" s="5"/>
    </row>
    <row r="37" spans="2:25" x14ac:dyDescent="0.3">
      <c r="B37" s="7">
        <v>40</v>
      </c>
      <c r="C37" s="6" t="e">
        <f>AVERAGE('Mesures Low1'!AI$3:AI$13)</f>
        <v>#DIV/0!</v>
      </c>
      <c r="D37" s="1"/>
      <c r="E37" s="6" t="e">
        <f>AVERAGE('Mesures Low1'!AL$3:AL$13)</f>
        <v>#DIV/0!</v>
      </c>
      <c r="F37" s="1"/>
      <c r="G37" s="6" t="e">
        <f>AVERAGE('Mesures Low1'!AJ$3:AJ$13)</f>
        <v>#DIV/0!</v>
      </c>
      <c r="H37" s="1"/>
      <c r="I37" s="6" t="e">
        <f>AVERAGE('Mesures Low1'!AM$3:AM$13)</f>
        <v>#DIV/0!</v>
      </c>
      <c r="J37" s="7">
        <v>40</v>
      </c>
      <c r="K37" s="6" t="e">
        <f>AVERAGE('Mesures Low2'!AI$3:AI$13)</f>
        <v>#DIV/0!</v>
      </c>
      <c r="L37" s="1"/>
      <c r="M37" s="6" t="e">
        <f>AVERAGE('Mesures Low2'!AL$3:AL$13)</f>
        <v>#DIV/0!</v>
      </c>
      <c r="N37" s="1"/>
      <c r="O37" s="6" t="e">
        <f>AVERAGE('Mesures Low2'!AK$3:AK$13)</f>
        <v>#DIV/0!</v>
      </c>
      <c r="P37" s="1"/>
      <c r="Q37" s="10" t="e">
        <f>AVERAGE('Mesures Low2'!AN$3:AN$13)</f>
        <v>#DIV/0!</v>
      </c>
      <c r="U37" s="5"/>
      <c r="V37" s="5"/>
      <c r="W37" s="5"/>
      <c r="X37" s="5"/>
      <c r="Y37" s="5"/>
    </row>
    <row r="38" spans="2:25" x14ac:dyDescent="0.3">
      <c r="B38" s="7">
        <v>45</v>
      </c>
      <c r="C38" s="6" t="e">
        <f>AVERAGE('Mesures Low1'!AI$15:AI$25)</f>
        <v>#DIV/0!</v>
      </c>
      <c r="D38" s="1"/>
      <c r="E38" s="6" t="e">
        <f>AVERAGE('Mesures Low1'!AL$15:AL$25)</f>
        <v>#DIV/0!</v>
      </c>
      <c r="F38" s="1"/>
      <c r="G38" s="6" t="e">
        <f>AVERAGE('Mesures Low1'!AJ$15:AJ$25)</f>
        <v>#DIV/0!</v>
      </c>
      <c r="H38" s="1"/>
      <c r="I38" s="6" t="e">
        <f>AVERAGE('Mesures Low1'!AM$15:AM$25)</f>
        <v>#DIV/0!</v>
      </c>
      <c r="J38" s="7">
        <v>45</v>
      </c>
      <c r="K38" s="6" t="e">
        <f>AVERAGE('Mesures Low2'!AI$15:AI$25)</f>
        <v>#DIV/0!</v>
      </c>
      <c r="L38" s="1"/>
      <c r="M38" s="6" t="e">
        <f>AVERAGE('Mesures Low2'!AL$15:AL$25)</f>
        <v>#DIV/0!</v>
      </c>
      <c r="N38" s="1"/>
      <c r="O38" s="6" t="e">
        <f>AVERAGE('Mesures Low2'!AK$15:AK$25)</f>
        <v>#DIV/0!</v>
      </c>
      <c r="Q38" s="10" t="e">
        <f>AVERAGE('Mesures Low2'!AN$15:AN$25)</f>
        <v>#DIV/0!</v>
      </c>
      <c r="U38" s="5"/>
      <c r="V38" s="5"/>
      <c r="W38" s="5"/>
      <c r="X38" s="5"/>
      <c r="Y38" s="5"/>
    </row>
    <row r="39" spans="2:25" x14ac:dyDescent="0.3">
      <c r="B39" s="7">
        <v>50</v>
      </c>
      <c r="C39" s="6" t="e">
        <f>AVERAGE('Mesures Low1'!AI$27:AI$37)</f>
        <v>#DIV/0!</v>
      </c>
      <c r="D39" s="1"/>
      <c r="E39" s="6" t="e">
        <f>AVERAGE('Mesures Low1'!AL$27:AL$37)</f>
        <v>#DIV/0!</v>
      </c>
      <c r="F39" s="1"/>
      <c r="G39" s="6" t="e">
        <f>AVERAGE('Mesures Low1'!AJ$27:AJ$37)</f>
        <v>#DIV/0!</v>
      </c>
      <c r="H39" s="1"/>
      <c r="I39" s="6" t="e">
        <f>AVERAGE('Mesures Low1'!AM$27:AM$37)</f>
        <v>#DIV/0!</v>
      </c>
      <c r="J39" s="7">
        <v>50</v>
      </c>
      <c r="K39" s="6" t="e">
        <f>AVERAGE('Mesures Low2'!AI$27:AI$37)</f>
        <v>#DIV/0!</v>
      </c>
      <c r="L39" s="1"/>
      <c r="M39" s="6" t="e">
        <f>AVERAGE('Mesures Low2'!AL$27:AL$37)</f>
        <v>#DIV/0!</v>
      </c>
      <c r="N39" s="1"/>
      <c r="O39" s="6" t="e">
        <f>AVERAGE('Mesures Low2'!AK$27:AK$37)</f>
        <v>#DIV/0!</v>
      </c>
      <c r="P39" s="1"/>
      <c r="Q39" s="10" t="e">
        <f>AVERAGE('Mesures Low2'!AN$27:AN$37)</f>
        <v>#DIV/0!</v>
      </c>
      <c r="U39" s="5"/>
      <c r="V39" s="5"/>
      <c r="W39" s="5"/>
      <c r="X39" s="5"/>
      <c r="Y39" s="5"/>
    </row>
    <row r="40" spans="2:25" x14ac:dyDescent="0.3">
      <c r="B40" s="7">
        <v>55</v>
      </c>
      <c r="C40" s="6" t="e">
        <f>AVERAGE('Mesures Low1'!AI$39:AI$49)</f>
        <v>#DIV/0!</v>
      </c>
      <c r="D40" s="1"/>
      <c r="E40" s="6" t="e">
        <f>AVERAGE('Mesures Low1'!AL$39:AL$49)</f>
        <v>#DIV/0!</v>
      </c>
      <c r="F40" s="1"/>
      <c r="G40" s="6" t="e">
        <f>AVERAGE('Mesures Low1'!AJ$39:AJ$49)</f>
        <v>#DIV/0!</v>
      </c>
      <c r="H40" s="1"/>
      <c r="I40" s="6" t="e">
        <f>AVERAGE('Mesures Low1'!AM$39:AM$49)</f>
        <v>#DIV/0!</v>
      </c>
      <c r="J40" s="7">
        <v>55</v>
      </c>
      <c r="K40" s="6" t="e">
        <f>AVERAGE('Mesures Low2'!AI$39:AI$49)</f>
        <v>#DIV/0!</v>
      </c>
      <c r="L40" s="1"/>
      <c r="M40" s="6" t="e">
        <f>AVERAGE('Mesures Low2'!AL$39:AL$49)</f>
        <v>#DIV/0!</v>
      </c>
      <c r="N40" s="1"/>
      <c r="O40" s="6" t="e">
        <f>AVERAGE('Mesures Low2'!AK$39:AK$49)</f>
        <v>#DIV/0!</v>
      </c>
      <c r="P40" s="1"/>
      <c r="Q40" s="10" t="e">
        <f>AVERAGE('Mesures Low2'!AN$39:AN$49)</f>
        <v>#DIV/0!</v>
      </c>
      <c r="U40" s="5"/>
      <c r="V40" s="5"/>
      <c r="W40" s="5"/>
      <c r="X40" s="5"/>
      <c r="Y40" s="5"/>
    </row>
    <row r="41" spans="2:25" ht="15" thickBot="1" x14ac:dyDescent="0.35">
      <c r="B41" s="8">
        <v>60</v>
      </c>
      <c r="C41" s="11" t="e">
        <f>AVERAGE('Mesures Low1'!AI$51:AI$61)</f>
        <v>#DIV/0!</v>
      </c>
      <c r="D41" s="4"/>
      <c r="E41" s="11" t="e">
        <f>AVERAGE('Mesures Low1'!AL$51:AL$61)</f>
        <v>#DIV/0!</v>
      </c>
      <c r="F41" s="4"/>
      <c r="G41" s="11" t="e">
        <f>AVERAGE('Mesures Low1'!AJ$51:AJ$61)</f>
        <v>#DIV/0!</v>
      </c>
      <c r="H41" s="4"/>
      <c r="I41" s="11" t="e">
        <f>AVERAGE('Mesures Low1'!AM$51:AM$61)</f>
        <v>#DIV/0!</v>
      </c>
      <c r="J41" s="8">
        <v>60</v>
      </c>
      <c r="K41" s="11" t="e">
        <f>AVERAGE('Mesures Low2'!AI$51:AI$61)</f>
        <v>#DIV/0!</v>
      </c>
      <c r="L41" s="4"/>
      <c r="M41" s="11" t="e">
        <f>AVERAGE('Mesures Low2'!AL$51:AL$61)</f>
        <v>#DIV/0!</v>
      </c>
      <c r="N41" s="4"/>
      <c r="O41" s="11" t="e">
        <f>AVERAGE('Mesures Low2'!AK$51:AK$61)</f>
        <v>#DIV/0!</v>
      </c>
      <c r="P41" s="4"/>
      <c r="Q41" s="12" t="e">
        <f>AVERAGE('Mesures Low2'!AN$51:AN$61)</f>
        <v>#DIV/0!</v>
      </c>
      <c r="U41" s="5"/>
      <c r="V41" s="5"/>
      <c r="W41" s="5"/>
      <c r="X41" s="5"/>
      <c r="Y41" s="5"/>
    </row>
    <row r="42" spans="2:25" x14ac:dyDescent="0.3">
      <c r="B42" s="26" t="s">
        <v>25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8"/>
      <c r="S42" s="5"/>
      <c r="T42" s="5"/>
      <c r="U42" s="5"/>
      <c r="V42" s="5"/>
      <c r="W42" s="5"/>
      <c r="X42" s="5"/>
      <c r="Y42" s="5"/>
    </row>
    <row r="43" spans="2:25" x14ac:dyDescent="0.3">
      <c r="B43" s="23" t="s">
        <v>63</v>
      </c>
      <c r="C43" s="24"/>
      <c r="D43" s="24" t="s">
        <v>64</v>
      </c>
      <c r="E43" s="24"/>
      <c r="F43" s="24" t="s">
        <v>65</v>
      </c>
      <c r="G43" s="24"/>
      <c r="H43" s="24" t="s">
        <v>66</v>
      </c>
      <c r="I43" s="24"/>
      <c r="J43" s="23" t="s">
        <v>67</v>
      </c>
      <c r="K43" s="24"/>
      <c r="L43" s="24" t="s">
        <v>68</v>
      </c>
      <c r="M43" s="24"/>
      <c r="N43" s="24" t="s">
        <v>69</v>
      </c>
      <c r="O43" s="24"/>
      <c r="P43" s="24" t="s">
        <v>70</v>
      </c>
      <c r="Q43" s="25"/>
      <c r="S43" s="5"/>
      <c r="T43" s="5"/>
      <c r="U43" s="5"/>
      <c r="V43" s="5"/>
      <c r="W43" s="5"/>
      <c r="X43" s="5"/>
      <c r="Y43" s="5"/>
    </row>
    <row r="44" spans="2:25" x14ac:dyDescent="0.3">
      <c r="B44" s="2" t="s">
        <v>6</v>
      </c>
      <c r="C44" s="1" t="s">
        <v>3</v>
      </c>
      <c r="D44" s="1" t="s">
        <v>4</v>
      </c>
      <c r="E44" s="1" t="s">
        <v>5</v>
      </c>
      <c r="F44" s="1" t="s">
        <v>6</v>
      </c>
      <c r="G44" s="1" t="s">
        <v>3</v>
      </c>
      <c r="H44" s="1" t="s">
        <v>4</v>
      </c>
      <c r="I44" s="1" t="s">
        <v>5</v>
      </c>
      <c r="J44" s="7" t="s">
        <v>6</v>
      </c>
      <c r="K44" s="1" t="s">
        <v>3</v>
      </c>
      <c r="L44" s="1" t="s">
        <v>4</v>
      </c>
      <c r="M44" s="1" t="s">
        <v>5</v>
      </c>
      <c r="N44" s="1" t="s">
        <v>6</v>
      </c>
      <c r="O44" s="1" t="s">
        <v>3</v>
      </c>
      <c r="P44" s="1" t="s">
        <v>4</v>
      </c>
      <c r="Q44" s="3" t="s">
        <v>5</v>
      </c>
      <c r="S44" s="5"/>
      <c r="T44" s="5"/>
      <c r="U44" s="5"/>
      <c r="V44" s="5"/>
      <c r="W44" s="5"/>
      <c r="X44" s="5"/>
      <c r="Y44" s="5"/>
    </row>
    <row r="45" spans="2:25" x14ac:dyDescent="0.3">
      <c r="B45" s="7">
        <v>40</v>
      </c>
      <c r="C45" s="6" t="e">
        <f>AVERAGE('Mesures Low1'!AQ$3:AQ$13)</f>
        <v>#DIV/0!</v>
      </c>
      <c r="D45" s="1"/>
      <c r="E45" s="6" t="e">
        <f>AVERAGE('Mesures Low1'!AT$3:AT$13)</f>
        <v>#DIV/0!</v>
      </c>
      <c r="F45" s="1"/>
      <c r="G45" s="6" t="e">
        <f>AVERAGE('Mesures Low1'!AR$3:AR$13)</f>
        <v>#DIV/0!</v>
      </c>
      <c r="H45" s="1"/>
      <c r="I45" s="6" t="e">
        <f>AVERAGE('Mesures Low1'!AU$3:AU$13)</f>
        <v>#DIV/0!</v>
      </c>
      <c r="J45" s="7">
        <v>40</v>
      </c>
      <c r="K45" s="6" t="e">
        <f>AVERAGE('Mesures Low2'!AQ$3:AQ$13)</f>
        <v>#DIV/0!</v>
      </c>
      <c r="L45" s="1"/>
      <c r="M45" s="6" t="e">
        <f>AVERAGE('Mesures Low2'!AT$3:AT$13)</f>
        <v>#DIV/0!</v>
      </c>
      <c r="N45" s="1"/>
      <c r="O45" s="6" t="e">
        <f>AVERAGE('Mesures Low2'!AS$3:AS$13)</f>
        <v>#DIV/0!</v>
      </c>
      <c r="P45" s="1"/>
      <c r="Q45" s="10" t="e">
        <f>AVERAGE('Mesures Low2'!AV$3:AV$13)</f>
        <v>#DIV/0!</v>
      </c>
      <c r="S45" s="5"/>
      <c r="T45" s="5"/>
      <c r="U45" s="5"/>
      <c r="V45" s="5"/>
      <c r="W45" s="5"/>
      <c r="X45" s="5"/>
      <c r="Y45" s="5"/>
    </row>
    <row r="46" spans="2:25" x14ac:dyDescent="0.3">
      <c r="B46" s="7">
        <v>45</v>
      </c>
      <c r="C46" s="6" t="e">
        <f>AVERAGE('Mesures Low1'!AQ$15:AQ$25)</f>
        <v>#DIV/0!</v>
      </c>
      <c r="D46" s="1"/>
      <c r="E46" s="6" t="e">
        <f>AVERAGE('Mesures Low1'!AT$15:AT$25)</f>
        <v>#DIV/0!</v>
      </c>
      <c r="F46" s="1"/>
      <c r="G46" s="6" t="e">
        <f>AVERAGE('Mesures Low1'!AR$15:AR$25)</f>
        <v>#DIV/0!</v>
      </c>
      <c r="H46" s="1"/>
      <c r="I46" s="6" t="e">
        <f>AVERAGE('Mesures Low1'!AU$15:AU$25)</f>
        <v>#DIV/0!</v>
      </c>
      <c r="J46" s="7">
        <v>45</v>
      </c>
      <c r="K46" s="6" t="e">
        <f>AVERAGE('Mesures Low2'!AQ$15:AQ$25)</f>
        <v>#DIV/0!</v>
      </c>
      <c r="L46" s="1"/>
      <c r="M46" s="6" t="e">
        <f>AVERAGE('Mesures Low2'!AT$15:AT$25)</f>
        <v>#DIV/0!</v>
      </c>
      <c r="N46" s="1"/>
      <c r="O46" s="6" t="e">
        <f>AVERAGE('Mesures Low2'!AS$15:AS$25)</f>
        <v>#DIV/0!</v>
      </c>
      <c r="P46" s="13"/>
      <c r="Q46" s="10" t="e">
        <f>AVERAGE('Mesures Low2'!AV$15:AV$25)</f>
        <v>#DIV/0!</v>
      </c>
      <c r="S46" s="5"/>
      <c r="T46" s="5"/>
      <c r="U46" s="5"/>
      <c r="V46" s="5"/>
      <c r="W46" s="5"/>
      <c r="X46" s="5"/>
      <c r="Y46" s="5"/>
    </row>
    <row r="47" spans="2:25" x14ac:dyDescent="0.3">
      <c r="B47" s="7">
        <v>50</v>
      </c>
      <c r="C47" s="6" t="e">
        <f>AVERAGE('Mesures Low1'!AQ$27:AQ$37)</f>
        <v>#DIV/0!</v>
      </c>
      <c r="D47" s="1"/>
      <c r="E47" s="6" t="e">
        <f>AVERAGE('Mesures Low1'!AT$27:AT$37)</f>
        <v>#DIV/0!</v>
      </c>
      <c r="F47" s="1"/>
      <c r="G47" s="6" t="e">
        <f>AVERAGE('Mesures Low1'!AR$27:AR$37)</f>
        <v>#DIV/0!</v>
      </c>
      <c r="H47" s="1"/>
      <c r="I47" s="6" t="e">
        <f>AVERAGE('Mesures Low1'!AU$27:AU$37)</f>
        <v>#DIV/0!</v>
      </c>
      <c r="J47" s="7">
        <v>50</v>
      </c>
      <c r="K47" s="6" t="e">
        <f>AVERAGE('Mesures Low2'!AQ$27:AQ$37)</f>
        <v>#DIV/0!</v>
      </c>
      <c r="L47" s="1"/>
      <c r="M47" s="6" t="e">
        <f>AVERAGE('Mesures Low2'!AT$27:AT$37)</f>
        <v>#DIV/0!</v>
      </c>
      <c r="N47" s="1"/>
      <c r="O47" s="6" t="e">
        <f>AVERAGE('Mesures Low2'!AS$27:AS$37)</f>
        <v>#DIV/0!</v>
      </c>
      <c r="P47" s="1"/>
      <c r="Q47" s="10" t="e">
        <f>AVERAGE('Mesures Low2'!AV$27:AV$37)</f>
        <v>#DIV/0!</v>
      </c>
      <c r="S47" s="5"/>
      <c r="T47" s="5"/>
      <c r="U47" s="5"/>
      <c r="V47" s="5"/>
      <c r="W47" s="5"/>
      <c r="X47" s="5"/>
      <c r="Y47" s="5"/>
    </row>
    <row r="48" spans="2:25" x14ac:dyDescent="0.3">
      <c r="B48" s="7">
        <v>55</v>
      </c>
      <c r="C48" s="6" t="e">
        <f>AVERAGE('Mesures Low1'!AQ$39:AQ$49)</f>
        <v>#DIV/0!</v>
      </c>
      <c r="D48" s="1"/>
      <c r="E48" s="6" t="e">
        <f>AVERAGE('Mesures Low1'!AT$39:AT$49)</f>
        <v>#DIV/0!</v>
      </c>
      <c r="F48" s="1"/>
      <c r="G48" s="6" t="e">
        <f>AVERAGE('Mesures Low1'!AR$39:AR$49)</f>
        <v>#DIV/0!</v>
      </c>
      <c r="H48" s="1"/>
      <c r="I48" s="6" t="e">
        <f>AVERAGE('Mesures Low1'!AU$39:AU$49)</f>
        <v>#DIV/0!</v>
      </c>
      <c r="J48" s="7">
        <v>55</v>
      </c>
      <c r="K48" s="6" t="e">
        <f>AVERAGE('Mesures Low2'!AQ$39:AQ$49)</f>
        <v>#DIV/0!</v>
      </c>
      <c r="L48" s="1"/>
      <c r="M48" s="6" t="e">
        <f>AVERAGE('Mesures Low2'!AT$39:AT$49)</f>
        <v>#DIV/0!</v>
      </c>
      <c r="N48" s="1"/>
      <c r="O48" s="6" t="e">
        <f>AVERAGE('Mesures Low2'!AS$39:AS$49)</f>
        <v>#DIV/0!</v>
      </c>
      <c r="P48" s="1"/>
      <c r="Q48" s="10" t="e">
        <f>AVERAGE('Mesures Low2'!AV$39:AV$49)</f>
        <v>#DIV/0!</v>
      </c>
      <c r="S48" s="5"/>
      <c r="T48" s="5"/>
      <c r="U48" s="5"/>
      <c r="V48" s="5"/>
      <c r="W48" s="5"/>
      <c r="X48" s="5"/>
      <c r="Y48" s="5"/>
    </row>
    <row r="49" spans="2:25" ht="15" thickBot="1" x14ac:dyDescent="0.35">
      <c r="B49" s="8">
        <v>60</v>
      </c>
      <c r="C49" s="11" t="e">
        <f>AVERAGE('Mesures Low1'!AQ$51:AQ$61)</f>
        <v>#DIV/0!</v>
      </c>
      <c r="D49" s="4"/>
      <c r="E49" s="11" t="e">
        <f>AVERAGE('Mesures Low1'!AT$51:AT$61)</f>
        <v>#DIV/0!</v>
      </c>
      <c r="F49" s="4"/>
      <c r="G49" s="11" t="e">
        <f>AVERAGE('Mesures Low1'!AR$51:AR$61)</f>
        <v>#DIV/0!</v>
      </c>
      <c r="H49" s="4"/>
      <c r="I49" s="11" t="e">
        <f>AVERAGE('Mesures Low1'!AU$51:AU$61)</f>
        <v>#DIV/0!</v>
      </c>
      <c r="J49" s="8">
        <v>60</v>
      </c>
      <c r="K49" s="11" t="e">
        <f>AVERAGE('Mesures Low2'!AQ$51:AQ$61)</f>
        <v>#DIV/0!</v>
      </c>
      <c r="L49" s="4"/>
      <c r="M49" s="11" t="e">
        <f>AVERAGE('Mesures Low2'!AT$51:AT$61)</f>
        <v>#DIV/0!</v>
      </c>
      <c r="N49" s="4"/>
      <c r="O49" s="11" t="e">
        <f>AVERAGE('Mesures Low2'!AS$51:AS$61)</f>
        <v>#DIV/0!</v>
      </c>
      <c r="P49" s="4"/>
      <c r="Q49" s="12" t="e">
        <f>AVERAGE('Mesures Low2'!AV$51:AV$61)</f>
        <v>#DIV/0!</v>
      </c>
      <c r="S49" s="5"/>
      <c r="T49" s="5"/>
      <c r="U49" s="5"/>
      <c r="V49" s="5"/>
      <c r="W49" s="5"/>
      <c r="X49" s="5"/>
      <c r="Y49" s="5"/>
    </row>
    <row r="50" spans="2:25" x14ac:dyDescent="0.3">
      <c r="B50" s="29" t="s">
        <v>26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1"/>
      <c r="S50" s="5"/>
      <c r="T50" s="5"/>
      <c r="U50" s="5"/>
      <c r="V50" s="5"/>
      <c r="W50" s="5"/>
      <c r="X50" s="5"/>
      <c r="Y50" s="5"/>
    </row>
    <row r="51" spans="2:25" x14ac:dyDescent="0.3">
      <c r="B51" s="23" t="s">
        <v>63</v>
      </c>
      <c r="C51" s="24"/>
      <c r="D51" s="24" t="s">
        <v>64</v>
      </c>
      <c r="E51" s="24"/>
      <c r="F51" s="24" t="s">
        <v>65</v>
      </c>
      <c r="G51" s="24"/>
      <c r="H51" s="24" t="s">
        <v>66</v>
      </c>
      <c r="I51" s="24"/>
      <c r="J51" s="23" t="s">
        <v>67</v>
      </c>
      <c r="K51" s="24"/>
      <c r="L51" s="24" t="s">
        <v>68</v>
      </c>
      <c r="M51" s="24"/>
      <c r="N51" s="24" t="s">
        <v>69</v>
      </c>
      <c r="O51" s="24"/>
      <c r="P51" s="24" t="s">
        <v>70</v>
      </c>
      <c r="Q51" s="25"/>
      <c r="S51" s="5"/>
      <c r="T51" s="5"/>
      <c r="U51" s="5"/>
      <c r="V51" s="5"/>
      <c r="W51" s="5"/>
      <c r="X51" s="5"/>
      <c r="Y51" s="5"/>
    </row>
    <row r="52" spans="2:25" x14ac:dyDescent="0.3">
      <c r="B52" s="2" t="s">
        <v>6</v>
      </c>
      <c r="C52" s="1" t="s">
        <v>3</v>
      </c>
      <c r="D52" s="1" t="s">
        <v>4</v>
      </c>
      <c r="E52" s="1" t="s">
        <v>5</v>
      </c>
      <c r="F52" s="1" t="s">
        <v>6</v>
      </c>
      <c r="G52" s="1" t="s">
        <v>3</v>
      </c>
      <c r="H52" s="1" t="s">
        <v>4</v>
      </c>
      <c r="I52" s="1" t="s">
        <v>5</v>
      </c>
      <c r="J52" s="7" t="s">
        <v>6</v>
      </c>
      <c r="K52" s="1" t="s">
        <v>3</v>
      </c>
      <c r="L52" s="1" t="s">
        <v>4</v>
      </c>
      <c r="M52" s="1" t="s">
        <v>5</v>
      </c>
      <c r="N52" s="1" t="s">
        <v>6</v>
      </c>
      <c r="O52" s="1" t="s">
        <v>3</v>
      </c>
      <c r="P52" s="1" t="s">
        <v>4</v>
      </c>
      <c r="Q52" s="3" t="s">
        <v>5</v>
      </c>
      <c r="S52" s="5"/>
      <c r="T52" s="5"/>
      <c r="U52" s="5"/>
      <c r="V52" s="5"/>
      <c r="W52" s="5"/>
      <c r="X52" s="5"/>
      <c r="Y52" s="5"/>
    </row>
    <row r="53" spans="2:25" x14ac:dyDescent="0.3">
      <c r="B53" s="7">
        <v>40</v>
      </c>
      <c r="C53" s="6" t="e">
        <f>AVERAGE('Mesures Low1'!AY$3:AY$13)</f>
        <v>#DIV/0!</v>
      </c>
      <c r="D53" s="1"/>
      <c r="E53" s="6" t="e">
        <f>AVERAGE('Mesures Low1'!BB$3:BB$13)</f>
        <v>#DIV/0!</v>
      </c>
      <c r="F53" s="1"/>
      <c r="G53" s="6" t="e">
        <f>AVERAGE('Mesures Low1'!AZ$3:AZ$13)</f>
        <v>#DIV/0!</v>
      </c>
      <c r="H53" s="1"/>
      <c r="I53" s="6" t="e">
        <f>AVERAGE('Mesures Low1'!BC$3:BC$13)</f>
        <v>#DIV/0!</v>
      </c>
      <c r="J53" s="7">
        <v>40</v>
      </c>
      <c r="K53" s="6" t="e">
        <f>AVERAGE('Mesures Low2'!AY$3:AY$13)</f>
        <v>#DIV/0!</v>
      </c>
      <c r="L53" s="1"/>
      <c r="M53" s="6" t="e">
        <f>AVERAGE('Mesures Low2'!BB$3:BB$13)</f>
        <v>#DIV/0!</v>
      </c>
      <c r="N53" s="1"/>
      <c r="O53" s="6" t="e">
        <f>AVERAGE('Mesures Low2'!BA$3:BA$13)</f>
        <v>#DIV/0!</v>
      </c>
      <c r="P53" s="1"/>
      <c r="Q53" s="10" t="e">
        <f>AVERAGE('Mesures Low2'!BD$3:BD$13)</f>
        <v>#DIV/0!</v>
      </c>
      <c r="S53" s="5"/>
      <c r="T53" s="5"/>
      <c r="U53" s="5"/>
      <c r="V53" s="5"/>
      <c r="W53" s="5"/>
      <c r="X53" s="5"/>
      <c r="Y53" s="5"/>
    </row>
    <row r="54" spans="2:25" x14ac:dyDescent="0.3">
      <c r="B54" s="7">
        <v>45</v>
      </c>
      <c r="C54" s="6" t="e">
        <f>AVERAGE('Mesures Low1'!AY$15:AY$25)</f>
        <v>#DIV/0!</v>
      </c>
      <c r="D54" s="1"/>
      <c r="E54" s="6" t="e">
        <f>AVERAGE('Mesures Low1'!BB$15:BB$25)</f>
        <v>#DIV/0!</v>
      </c>
      <c r="F54" s="1"/>
      <c r="G54" s="6" t="e">
        <f>AVERAGE('Mesures Low1'!AZ$15:AZ$25)</f>
        <v>#DIV/0!</v>
      </c>
      <c r="H54" s="1"/>
      <c r="I54" s="6" t="e">
        <f>AVERAGE('Mesures Low1'!BC$15:BC$25)</f>
        <v>#DIV/0!</v>
      </c>
      <c r="J54" s="7">
        <v>45</v>
      </c>
      <c r="K54" s="6" t="e">
        <f>AVERAGE('Mesures Low2'!AY$15:AY$25)</f>
        <v>#DIV/0!</v>
      </c>
      <c r="L54" s="1"/>
      <c r="M54" s="6" t="e">
        <f>AVERAGE('Mesures Low2'!BB$15:BB$25)</f>
        <v>#DIV/0!</v>
      </c>
      <c r="N54" s="1"/>
      <c r="O54" s="6" t="e">
        <f>AVERAGE('Mesures Low2'!BA$15:BA$25)</f>
        <v>#DIV/0!</v>
      </c>
      <c r="P54" s="13"/>
      <c r="Q54" s="10" t="e">
        <f>AVERAGE('Mesures Low2'!BD$15:BD$25)</f>
        <v>#DIV/0!</v>
      </c>
      <c r="S54" s="5"/>
      <c r="T54" s="5"/>
      <c r="U54" s="5"/>
      <c r="V54" s="5"/>
      <c r="W54" s="5"/>
      <c r="X54" s="5"/>
      <c r="Y54" s="5"/>
    </row>
    <row r="55" spans="2:25" x14ac:dyDescent="0.3">
      <c r="B55" s="7">
        <v>50</v>
      </c>
      <c r="C55" s="6" t="e">
        <f>AVERAGE('Mesures Low1'!AY$27:AY$37)</f>
        <v>#DIV/0!</v>
      </c>
      <c r="D55" s="1"/>
      <c r="E55" s="6" t="e">
        <f>AVERAGE('Mesures Low1'!BB$27:BB$37)</f>
        <v>#DIV/0!</v>
      </c>
      <c r="F55" s="1"/>
      <c r="G55" s="6" t="e">
        <f>AVERAGE('Mesures Low1'!AZ$27:AZ$37)</f>
        <v>#DIV/0!</v>
      </c>
      <c r="H55" s="1"/>
      <c r="I55" s="6" t="e">
        <f>AVERAGE('Mesures Low1'!BC$27:BC$37)</f>
        <v>#DIV/0!</v>
      </c>
      <c r="J55" s="7">
        <v>50</v>
      </c>
      <c r="K55" s="6" t="e">
        <f>AVERAGE('Mesures Low2'!AY$27:AY$37)</f>
        <v>#DIV/0!</v>
      </c>
      <c r="L55" s="1"/>
      <c r="M55" s="6" t="e">
        <f>AVERAGE('Mesures Low2'!BB$27:BB$37)</f>
        <v>#DIV/0!</v>
      </c>
      <c r="N55" s="1"/>
      <c r="O55" s="6" t="e">
        <f>AVERAGE('Mesures Low2'!BA$27:BA$37)</f>
        <v>#DIV/0!</v>
      </c>
      <c r="P55" s="1"/>
      <c r="Q55" s="10" t="e">
        <f>AVERAGE('Mesures Low2'!BD$27:BD$37)</f>
        <v>#DIV/0!</v>
      </c>
      <c r="S55" s="5"/>
      <c r="T55" s="5"/>
      <c r="U55" s="5"/>
      <c r="V55" s="5"/>
      <c r="W55" s="5"/>
      <c r="X55" s="5"/>
      <c r="Y55" s="5"/>
    </row>
    <row r="56" spans="2:25" x14ac:dyDescent="0.3">
      <c r="B56" s="7">
        <v>55</v>
      </c>
      <c r="C56" s="6" t="e">
        <f>AVERAGE('Mesures Low1'!AY$39:AY$49)</f>
        <v>#DIV/0!</v>
      </c>
      <c r="D56" s="1"/>
      <c r="E56" s="6" t="e">
        <f>AVERAGE('Mesures Low1'!BB$39:BB$49)</f>
        <v>#DIV/0!</v>
      </c>
      <c r="F56" s="1"/>
      <c r="G56" s="6" t="e">
        <f>AVERAGE('Mesures Low1'!AZ$39:AZ$49)</f>
        <v>#DIV/0!</v>
      </c>
      <c r="H56" s="1"/>
      <c r="I56" s="6" t="e">
        <f>AVERAGE('Mesures Low1'!BC$39:BC$49)</f>
        <v>#DIV/0!</v>
      </c>
      <c r="J56" s="7">
        <v>55</v>
      </c>
      <c r="K56" s="6" t="e">
        <f>AVERAGE('Mesures Low2'!AY$39:AY$49)</f>
        <v>#DIV/0!</v>
      </c>
      <c r="L56" s="1"/>
      <c r="M56" s="6" t="e">
        <f>AVERAGE('Mesures Low2'!BB$39:BB$49)</f>
        <v>#DIV/0!</v>
      </c>
      <c r="N56" s="1"/>
      <c r="O56" s="6" t="e">
        <f>AVERAGE('Mesures Low2'!BA$39:BA$49)</f>
        <v>#DIV/0!</v>
      </c>
      <c r="P56" s="1"/>
      <c r="Q56" s="10" t="e">
        <f>AVERAGE('Mesures Low2'!BD$39:BD$49)</f>
        <v>#DIV/0!</v>
      </c>
      <c r="S56" s="5"/>
      <c r="T56" s="5"/>
      <c r="U56" s="5"/>
      <c r="V56" s="5"/>
      <c r="W56" s="5"/>
      <c r="X56" s="5"/>
      <c r="Y56" s="5"/>
    </row>
    <row r="57" spans="2:25" ht="15" thickBot="1" x14ac:dyDescent="0.35">
      <c r="B57" s="8">
        <v>60</v>
      </c>
      <c r="C57" s="11" t="e">
        <f>AVERAGE('Mesures Low1'!AY$51:AY$61)</f>
        <v>#DIV/0!</v>
      </c>
      <c r="D57" s="4"/>
      <c r="E57" s="11" t="e">
        <f>AVERAGE('Mesures Low1'!BB$51:BB$61)</f>
        <v>#DIV/0!</v>
      </c>
      <c r="F57" s="4"/>
      <c r="G57" s="11" t="e">
        <f>AVERAGE('Mesures Low1'!AZ$51:AZ$61)</f>
        <v>#DIV/0!</v>
      </c>
      <c r="H57" s="4"/>
      <c r="I57" s="11" t="e">
        <f>AVERAGE('Mesures Low1'!BC$51:BC$61)</f>
        <v>#DIV/0!</v>
      </c>
      <c r="J57" s="8">
        <v>60</v>
      </c>
      <c r="K57" s="11" t="e">
        <f>AVERAGE('Mesures Low2'!AY$51:AY$61)</f>
        <v>#DIV/0!</v>
      </c>
      <c r="L57" s="4"/>
      <c r="M57" s="11" t="e">
        <f>AVERAGE('Mesures Low2'!BB$51:BB$61)</f>
        <v>#DIV/0!</v>
      </c>
      <c r="N57" s="4"/>
      <c r="O57" s="11" t="e">
        <f>AVERAGE('Mesures Low2'!BA$51:BA$61)</f>
        <v>#DIV/0!</v>
      </c>
      <c r="P57" s="4"/>
      <c r="Q57" s="12" t="e">
        <f>AVERAGE('Mesures Low2'!BD$51:BD$61)</f>
        <v>#DIV/0!</v>
      </c>
      <c r="S57" s="5"/>
      <c r="T57" s="5"/>
      <c r="U57" s="5"/>
      <c r="V57" s="5"/>
      <c r="W57" s="5"/>
      <c r="X57" s="5"/>
      <c r="Y57" s="5"/>
    </row>
    <row r="58" spans="2:25" x14ac:dyDescent="0.3">
      <c r="B58" s="34" t="s">
        <v>27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6"/>
      <c r="S58" s="5"/>
      <c r="T58" s="5"/>
      <c r="U58" s="5"/>
      <c r="V58" s="5"/>
      <c r="W58" s="5"/>
      <c r="X58" s="5"/>
      <c r="Y58" s="5"/>
    </row>
    <row r="59" spans="2:25" x14ac:dyDescent="0.3">
      <c r="B59" s="23" t="s">
        <v>63</v>
      </c>
      <c r="C59" s="24"/>
      <c r="D59" s="24" t="s">
        <v>64</v>
      </c>
      <c r="E59" s="24"/>
      <c r="F59" s="24" t="s">
        <v>65</v>
      </c>
      <c r="G59" s="24"/>
      <c r="H59" s="24" t="s">
        <v>66</v>
      </c>
      <c r="I59" s="24"/>
      <c r="J59" s="23" t="s">
        <v>67</v>
      </c>
      <c r="K59" s="24"/>
      <c r="L59" s="24" t="s">
        <v>68</v>
      </c>
      <c r="M59" s="24"/>
      <c r="N59" s="24" t="s">
        <v>69</v>
      </c>
      <c r="O59" s="24"/>
      <c r="P59" s="24" t="s">
        <v>70</v>
      </c>
      <c r="Q59" s="25"/>
      <c r="S59" s="5"/>
      <c r="T59" s="5"/>
      <c r="U59" s="5"/>
      <c r="V59" s="5"/>
      <c r="W59" s="5"/>
      <c r="X59" s="5"/>
      <c r="Y59" s="5"/>
    </row>
    <row r="60" spans="2:25" x14ac:dyDescent="0.3">
      <c r="B60" s="2" t="s">
        <v>6</v>
      </c>
      <c r="C60" s="1" t="s">
        <v>3</v>
      </c>
      <c r="D60" s="1" t="s">
        <v>4</v>
      </c>
      <c r="E60" s="1" t="s">
        <v>5</v>
      </c>
      <c r="F60" s="1" t="s">
        <v>6</v>
      </c>
      <c r="G60" s="1" t="s">
        <v>3</v>
      </c>
      <c r="H60" s="1" t="s">
        <v>4</v>
      </c>
      <c r="I60" s="1" t="s">
        <v>5</v>
      </c>
      <c r="J60" s="7" t="s">
        <v>6</v>
      </c>
      <c r="K60" s="1" t="s">
        <v>3</v>
      </c>
      <c r="L60" s="1" t="s">
        <v>4</v>
      </c>
      <c r="M60" s="1" t="s">
        <v>5</v>
      </c>
      <c r="N60" s="1" t="s">
        <v>6</v>
      </c>
      <c r="O60" s="1" t="s">
        <v>3</v>
      </c>
      <c r="P60" s="1" t="s">
        <v>4</v>
      </c>
      <c r="Q60" s="3" t="s">
        <v>5</v>
      </c>
      <c r="S60" s="5"/>
      <c r="T60" s="5"/>
      <c r="U60" s="5"/>
      <c r="V60" s="5"/>
      <c r="W60" s="5"/>
      <c r="X60" s="5"/>
      <c r="Y60" s="5"/>
    </row>
    <row r="61" spans="2:25" x14ac:dyDescent="0.3">
      <c r="B61" s="7">
        <v>40</v>
      </c>
      <c r="C61" s="6" t="e">
        <f>AVERAGE('Mesures Low1'!BG$3:BG$13)</f>
        <v>#DIV/0!</v>
      </c>
      <c r="D61" s="1"/>
      <c r="E61" s="6" t="e">
        <f>AVERAGE('Mesures Low1'!BJ$3:BJ$13)</f>
        <v>#DIV/0!</v>
      </c>
      <c r="F61" s="1"/>
      <c r="G61" s="6" t="e">
        <f>AVERAGE('Mesures Low1'!BH$3:BH$13)</f>
        <v>#DIV/0!</v>
      </c>
      <c r="H61" s="1"/>
      <c r="I61" s="6" t="e">
        <f>AVERAGE('Mesures Low1'!BK$3:BK$13)</f>
        <v>#DIV/0!</v>
      </c>
      <c r="J61" s="7">
        <v>40</v>
      </c>
      <c r="K61" s="6" t="e">
        <f>AVERAGE('Mesures Low2'!BG$3:BG$13)</f>
        <v>#DIV/0!</v>
      </c>
      <c r="L61" s="1"/>
      <c r="M61" s="6" t="e">
        <f>AVERAGE('Mesures Low2'!BJ$3:BJ$13)</f>
        <v>#DIV/0!</v>
      </c>
      <c r="N61" s="1"/>
      <c r="O61" s="6" t="e">
        <f>AVERAGE('Mesures Low2'!BI$3:BI$13)</f>
        <v>#DIV/0!</v>
      </c>
      <c r="P61" s="1"/>
      <c r="Q61" s="10" t="e">
        <f>AVERAGE('Mesures Low2'!BL$3:BL$13)</f>
        <v>#DIV/0!</v>
      </c>
      <c r="S61" s="5"/>
      <c r="T61" s="5"/>
      <c r="U61" s="5"/>
      <c r="V61" s="5"/>
      <c r="W61" s="5"/>
      <c r="X61" s="5"/>
      <c r="Y61" s="5"/>
    </row>
    <row r="62" spans="2:25" x14ac:dyDescent="0.3">
      <c r="B62" s="7">
        <v>45</v>
      </c>
      <c r="C62" s="6" t="e">
        <f>AVERAGE('Mesures Low1'!BG$15:BG$25)</f>
        <v>#DIV/0!</v>
      </c>
      <c r="D62" s="1"/>
      <c r="E62" s="6" t="e">
        <f>AVERAGE('Mesures Low1'!BJ$15:BJ$25)</f>
        <v>#DIV/0!</v>
      </c>
      <c r="F62" s="1"/>
      <c r="G62" s="6" t="e">
        <f>AVERAGE('Mesures Low1'!BH$15:BH$25)</f>
        <v>#DIV/0!</v>
      </c>
      <c r="H62" s="1"/>
      <c r="I62" s="6" t="e">
        <f>AVERAGE('Mesures Low1'!BK$15:BK$25)</f>
        <v>#DIV/0!</v>
      </c>
      <c r="J62" s="7">
        <v>45</v>
      </c>
      <c r="K62" s="6" t="e">
        <f>AVERAGE('Mesures Low2'!BG$15:BG$25)</f>
        <v>#DIV/0!</v>
      </c>
      <c r="L62" s="1"/>
      <c r="M62" s="6" t="e">
        <f>AVERAGE('Mesures Low2'!BJ$15:BJ$25)</f>
        <v>#DIV/0!</v>
      </c>
      <c r="N62" s="1"/>
      <c r="O62" s="6" t="e">
        <f>AVERAGE('Mesures Low2'!BI$15:BI$25)</f>
        <v>#DIV/0!</v>
      </c>
      <c r="P62" s="13"/>
      <c r="Q62" s="10" t="e">
        <f>AVERAGE('Mesures Low2'!BL$15:BL$25)</f>
        <v>#DIV/0!</v>
      </c>
      <c r="S62" s="5"/>
      <c r="T62" s="5"/>
      <c r="U62" s="5"/>
      <c r="V62" s="5"/>
      <c r="W62" s="5"/>
      <c r="X62" s="5"/>
      <c r="Y62" s="5"/>
    </row>
    <row r="63" spans="2:25" x14ac:dyDescent="0.3">
      <c r="B63" s="7">
        <v>50</v>
      </c>
      <c r="C63" s="6" t="e">
        <f>AVERAGE('Mesures Low1'!BG$27:BG$37)</f>
        <v>#DIV/0!</v>
      </c>
      <c r="D63" s="1"/>
      <c r="E63" s="6" t="e">
        <f>AVERAGE('Mesures Low1'!BJ$27:BJ$37)</f>
        <v>#DIV/0!</v>
      </c>
      <c r="F63" s="1"/>
      <c r="G63" s="6" t="e">
        <f>AVERAGE('Mesures Low1'!BH$27:BH$37)</f>
        <v>#DIV/0!</v>
      </c>
      <c r="H63" s="1"/>
      <c r="I63" s="6" t="e">
        <f>AVERAGE('Mesures Low1'!BK$27:BK$37)</f>
        <v>#DIV/0!</v>
      </c>
      <c r="J63" s="7">
        <v>50</v>
      </c>
      <c r="K63" s="6" t="e">
        <f>AVERAGE('Mesures Low2'!BG$27:BG$37)</f>
        <v>#DIV/0!</v>
      </c>
      <c r="L63" s="1"/>
      <c r="M63" s="6" t="e">
        <f>AVERAGE('Mesures Low2'!BJ$27:BJ$37)</f>
        <v>#DIV/0!</v>
      </c>
      <c r="N63" s="1"/>
      <c r="O63" s="6" t="e">
        <f>AVERAGE('Mesures Low2'!BI$27:BI$37)</f>
        <v>#DIV/0!</v>
      </c>
      <c r="P63" s="1"/>
      <c r="Q63" s="10" t="e">
        <f>AVERAGE('Mesures Low2'!BL$27:BL$37)</f>
        <v>#DIV/0!</v>
      </c>
      <c r="S63" s="5"/>
      <c r="T63" s="5"/>
      <c r="U63" s="5"/>
      <c r="V63" s="5"/>
      <c r="W63" s="5"/>
      <c r="X63" s="5"/>
      <c r="Y63" s="5"/>
    </row>
    <row r="64" spans="2:25" x14ac:dyDescent="0.3">
      <c r="B64" s="7">
        <v>55</v>
      </c>
      <c r="C64" s="6" t="e">
        <f>AVERAGE('Mesures Low1'!BG$39:BG$49)</f>
        <v>#DIV/0!</v>
      </c>
      <c r="D64" s="1"/>
      <c r="E64" s="6" t="e">
        <f>AVERAGE('Mesures Low1'!BJ$39:BJ$49)</f>
        <v>#DIV/0!</v>
      </c>
      <c r="F64" s="1"/>
      <c r="G64" s="6" t="e">
        <f>AVERAGE('Mesures Low1'!BH$39:BH$49)</f>
        <v>#DIV/0!</v>
      </c>
      <c r="H64" s="1"/>
      <c r="I64" s="6" t="e">
        <f>AVERAGE('Mesures Low1'!BK$39:BK$49)</f>
        <v>#DIV/0!</v>
      </c>
      <c r="J64" s="7">
        <v>55</v>
      </c>
      <c r="K64" s="6" t="e">
        <f>AVERAGE('Mesures Low2'!BG$39:BG$49)</f>
        <v>#DIV/0!</v>
      </c>
      <c r="L64" s="1"/>
      <c r="M64" s="6" t="e">
        <f>AVERAGE('Mesures Low2'!BJ$39:BJ$49)</f>
        <v>#DIV/0!</v>
      </c>
      <c r="N64" s="1"/>
      <c r="O64" s="6" t="e">
        <f>AVERAGE('Mesures Low2'!BI$39:BI$49)</f>
        <v>#DIV/0!</v>
      </c>
      <c r="P64" s="1"/>
      <c r="Q64" s="10" t="e">
        <f>AVERAGE('Mesures Low2'!BL$39:BL$49)</f>
        <v>#DIV/0!</v>
      </c>
      <c r="S64" s="5"/>
      <c r="T64" s="5"/>
      <c r="U64" s="5"/>
      <c r="V64" s="5"/>
      <c r="W64" s="5"/>
      <c r="X64" s="5"/>
      <c r="Y64" s="5"/>
    </row>
    <row r="65" spans="2:17" ht="15" thickBot="1" x14ac:dyDescent="0.35">
      <c r="B65" s="8">
        <v>60</v>
      </c>
      <c r="C65" s="11" t="e">
        <f>AVERAGE('Mesures Low1'!BG$51:BG$61)</f>
        <v>#DIV/0!</v>
      </c>
      <c r="D65" s="4"/>
      <c r="E65" s="11" t="e">
        <f>AVERAGE('Mesures Low1'!BJ$51:BJ$61)</f>
        <v>#DIV/0!</v>
      </c>
      <c r="F65" s="4"/>
      <c r="G65" s="11" t="e">
        <f>AVERAGE('Mesures Low1'!BH$51:BH$61)</f>
        <v>#DIV/0!</v>
      </c>
      <c r="H65" s="4"/>
      <c r="I65" s="11" t="e">
        <f>AVERAGE('Mesures Low1'!BK$51:BK$61)</f>
        <v>#DIV/0!</v>
      </c>
      <c r="J65" s="8">
        <v>60</v>
      </c>
      <c r="K65" s="11" t="e">
        <f>AVERAGE('Mesures Low2'!BG$51:BG$61)</f>
        <v>#DIV/0!</v>
      </c>
      <c r="L65" s="4"/>
      <c r="M65" s="11" t="e">
        <f>AVERAGE('Mesures Low2'!BJ$51:BJ$61)</f>
        <v>#DIV/0!</v>
      </c>
      <c r="N65" s="4"/>
      <c r="O65" s="11" t="e">
        <f>AVERAGE('Mesures Low2'!BI$51:BI$61)</f>
        <v>#DIV/0!</v>
      </c>
      <c r="P65" s="4"/>
      <c r="Q65" s="12" t="e">
        <f>AVERAGE('Mesures Low2'!BL$51:BL$61)</f>
        <v>#DIV/0!</v>
      </c>
    </row>
    <row r="66" spans="2:17" x14ac:dyDescent="0.3">
      <c r="B66" s="37" t="s">
        <v>28</v>
      </c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9"/>
    </row>
    <row r="67" spans="2:17" x14ac:dyDescent="0.3">
      <c r="B67" s="23" t="s">
        <v>63</v>
      </c>
      <c r="C67" s="24"/>
      <c r="D67" s="24" t="s">
        <v>64</v>
      </c>
      <c r="E67" s="24"/>
      <c r="F67" s="24" t="s">
        <v>65</v>
      </c>
      <c r="G67" s="24"/>
      <c r="H67" s="24" t="s">
        <v>66</v>
      </c>
      <c r="I67" s="24"/>
      <c r="J67" s="23" t="s">
        <v>67</v>
      </c>
      <c r="K67" s="24"/>
      <c r="L67" s="24" t="s">
        <v>68</v>
      </c>
      <c r="M67" s="24"/>
      <c r="N67" s="24" t="s">
        <v>69</v>
      </c>
      <c r="O67" s="24"/>
      <c r="P67" s="24" t="s">
        <v>70</v>
      </c>
      <c r="Q67" s="25"/>
    </row>
    <row r="68" spans="2:17" x14ac:dyDescent="0.3">
      <c r="B68" s="2" t="s">
        <v>6</v>
      </c>
      <c r="C68" s="1" t="s">
        <v>3</v>
      </c>
      <c r="D68" s="1" t="s">
        <v>4</v>
      </c>
      <c r="E68" s="1" t="s">
        <v>5</v>
      </c>
      <c r="F68" s="1" t="s">
        <v>6</v>
      </c>
      <c r="G68" s="1" t="s">
        <v>3</v>
      </c>
      <c r="H68" s="1" t="s">
        <v>4</v>
      </c>
      <c r="I68" s="1" t="s">
        <v>5</v>
      </c>
      <c r="J68" s="7" t="s">
        <v>6</v>
      </c>
      <c r="K68" s="1" t="s">
        <v>3</v>
      </c>
      <c r="L68" s="1" t="s">
        <v>4</v>
      </c>
      <c r="M68" s="1" t="s">
        <v>5</v>
      </c>
      <c r="N68" s="1" t="s">
        <v>6</v>
      </c>
      <c r="O68" s="1" t="s">
        <v>3</v>
      </c>
      <c r="P68" s="1" t="s">
        <v>4</v>
      </c>
      <c r="Q68" s="3" t="s">
        <v>5</v>
      </c>
    </row>
    <row r="69" spans="2:17" x14ac:dyDescent="0.3">
      <c r="B69" s="7">
        <v>40</v>
      </c>
      <c r="C69" s="6" t="e">
        <f>AVERAGE('Mesures Low1'!BO$3:BO$13)</f>
        <v>#DIV/0!</v>
      </c>
      <c r="D69" s="1"/>
      <c r="E69" s="6" t="e">
        <f>AVERAGE('Mesures Low1'!BR$3:BR$13)</f>
        <v>#DIV/0!</v>
      </c>
      <c r="F69" s="1"/>
      <c r="G69" s="6" t="e">
        <f>AVERAGE('Mesures Low1'!BP$3:BP$13)</f>
        <v>#DIV/0!</v>
      </c>
      <c r="H69" s="1"/>
      <c r="I69" s="6" t="e">
        <f>AVERAGE('Mesures Low1'!BS$3:BS$13)</f>
        <v>#DIV/0!</v>
      </c>
      <c r="J69" s="7">
        <v>40</v>
      </c>
      <c r="K69" s="6" t="e">
        <f>AVERAGE('Mesures Low2'!BO$3:BO$13)</f>
        <v>#DIV/0!</v>
      </c>
      <c r="L69" s="1"/>
      <c r="M69" s="6" t="e">
        <f>AVERAGE('Mesures Low2'!BR$3:BR$13)</f>
        <v>#DIV/0!</v>
      </c>
      <c r="N69" s="1"/>
      <c r="O69" s="6" t="e">
        <f>AVERAGE('Mesures Low2'!BQ$3:BQ$13)</f>
        <v>#DIV/0!</v>
      </c>
      <c r="P69" s="1"/>
      <c r="Q69" s="10" t="e">
        <f>AVERAGE('Mesures Low2'!BT$3:BT$13)</f>
        <v>#DIV/0!</v>
      </c>
    </row>
    <row r="70" spans="2:17" x14ac:dyDescent="0.3">
      <c r="B70" s="7">
        <v>45</v>
      </c>
      <c r="C70" s="6" t="e">
        <f>AVERAGE('Mesures Low1'!BO$15:BO$25)</f>
        <v>#DIV/0!</v>
      </c>
      <c r="D70" s="1"/>
      <c r="E70" s="6" t="e">
        <f>AVERAGE('Mesures Low1'!BR$15:BR$25)</f>
        <v>#DIV/0!</v>
      </c>
      <c r="F70" s="1"/>
      <c r="G70" s="6" t="e">
        <f>AVERAGE('Mesures Low1'!BP$15:BP$25)</f>
        <v>#DIV/0!</v>
      </c>
      <c r="H70" s="1"/>
      <c r="I70" s="6" t="e">
        <f>AVERAGE('Mesures Low1'!BS$15:BS$25)</f>
        <v>#DIV/0!</v>
      </c>
      <c r="J70" s="7">
        <v>45</v>
      </c>
      <c r="K70" s="6" t="e">
        <f>AVERAGE('Mesures Low2'!BO$15:BO$25)</f>
        <v>#DIV/0!</v>
      </c>
      <c r="L70" s="1"/>
      <c r="M70" s="6" t="e">
        <f>AVERAGE('Mesures Low2'!BR$15:BR$25)</f>
        <v>#DIV/0!</v>
      </c>
      <c r="N70" s="1"/>
      <c r="O70" s="6" t="e">
        <f>AVERAGE('Mesures Low2'!BQ$15:BQ$25)</f>
        <v>#DIV/0!</v>
      </c>
      <c r="P70" s="13"/>
      <c r="Q70" s="10" t="e">
        <f>AVERAGE('Mesures Low2'!BT$15:BT$25)</f>
        <v>#DIV/0!</v>
      </c>
    </row>
    <row r="71" spans="2:17" x14ac:dyDescent="0.3">
      <c r="B71" s="7">
        <v>50</v>
      </c>
      <c r="C71" s="6" t="e">
        <f>AVERAGE('Mesures Low1'!BO$27:BO$37)</f>
        <v>#DIV/0!</v>
      </c>
      <c r="D71" s="1"/>
      <c r="E71" s="6" t="e">
        <f>AVERAGE('Mesures Low1'!BR$27:BR$37)</f>
        <v>#DIV/0!</v>
      </c>
      <c r="F71" s="1"/>
      <c r="G71" s="6" t="e">
        <f>AVERAGE('Mesures Low1'!BP$27:BP$37)</f>
        <v>#DIV/0!</v>
      </c>
      <c r="H71" s="1"/>
      <c r="I71" s="6" t="e">
        <f>AVERAGE('Mesures Low1'!BS$27:BS$37)</f>
        <v>#DIV/0!</v>
      </c>
      <c r="J71" s="7">
        <v>50</v>
      </c>
      <c r="K71" s="6" t="e">
        <f>AVERAGE('Mesures Low2'!BO$27:BO$37)</f>
        <v>#DIV/0!</v>
      </c>
      <c r="L71" s="1"/>
      <c r="M71" s="6" t="e">
        <f>AVERAGE('Mesures Low2'!BR$27:BR$37)</f>
        <v>#DIV/0!</v>
      </c>
      <c r="N71" s="1"/>
      <c r="O71" s="6" t="e">
        <f>AVERAGE('Mesures Low2'!BQ$27:BQ$37)</f>
        <v>#DIV/0!</v>
      </c>
      <c r="P71" s="1"/>
      <c r="Q71" s="10" t="e">
        <f>AVERAGE('Mesures Low2'!BT$27:BT$37)</f>
        <v>#DIV/0!</v>
      </c>
    </row>
    <row r="72" spans="2:17" x14ac:dyDescent="0.3">
      <c r="B72" s="7">
        <v>55</v>
      </c>
      <c r="C72" s="6" t="e">
        <f>AVERAGE('Mesures Low1'!BO$39:BO$49)</f>
        <v>#DIV/0!</v>
      </c>
      <c r="D72" s="1"/>
      <c r="E72" s="6" t="e">
        <f>AVERAGE('Mesures Low1'!BR$39:BR$49)</f>
        <v>#DIV/0!</v>
      </c>
      <c r="F72" s="1"/>
      <c r="G72" s="6" t="e">
        <f>AVERAGE('Mesures Low1'!BP$39:BP$49)</f>
        <v>#DIV/0!</v>
      </c>
      <c r="H72" s="1"/>
      <c r="I72" s="6" t="e">
        <f>AVERAGE('Mesures Low1'!BS$39:BS$49)</f>
        <v>#DIV/0!</v>
      </c>
      <c r="J72" s="7">
        <v>55</v>
      </c>
      <c r="K72" s="6" t="e">
        <f>AVERAGE('Mesures Low2'!BO$39:BO$49)</f>
        <v>#DIV/0!</v>
      </c>
      <c r="L72" s="1"/>
      <c r="M72" s="6" t="e">
        <f>AVERAGE('Mesures Low2'!BR$39:BR$49)</f>
        <v>#DIV/0!</v>
      </c>
      <c r="N72" s="1"/>
      <c r="O72" s="6" t="e">
        <f>AVERAGE('Mesures Low2'!BQ$39:BQ$49)</f>
        <v>#DIV/0!</v>
      </c>
      <c r="P72" s="1"/>
      <c r="Q72" s="10" t="e">
        <f>AVERAGE('Mesures Low2'!BT$39:BT$49)</f>
        <v>#DIV/0!</v>
      </c>
    </row>
    <row r="73" spans="2:17" ht="15" thickBot="1" x14ac:dyDescent="0.35">
      <c r="B73" s="8">
        <v>60</v>
      </c>
      <c r="C73" s="11" t="e">
        <f>AVERAGE('Mesures Low1'!BO$51:BO$61)</f>
        <v>#DIV/0!</v>
      </c>
      <c r="D73" s="4"/>
      <c r="E73" s="11" t="e">
        <f>AVERAGE('Mesures Low1'!BR$51:BR$61)</f>
        <v>#DIV/0!</v>
      </c>
      <c r="F73" s="4"/>
      <c r="G73" s="11" t="e">
        <f>AVERAGE('Mesures Low1'!BP$51:BP$61)</f>
        <v>#DIV/0!</v>
      </c>
      <c r="H73" s="4"/>
      <c r="I73" s="11" t="e">
        <f>AVERAGE('Mesures Low1'!BS$51:BS$61)</f>
        <v>#DIV/0!</v>
      </c>
      <c r="J73" s="8">
        <v>60</v>
      </c>
      <c r="K73" s="11" t="e">
        <f>AVERAGE('Mesures Low2'!BO$51:BO$61)</f>
        <v>#DIV/0!</v>
      </c>
      <c r="L73" s="4"/>
      <c r="M73" s="11" t="e">
        <f>AVERAGE('Mesures Low2'!BR$51:BR$61)</f>
        <v>#DIV/0!</v>
      </c>
      <c r="N73" s="4"/>
      <c r="O73" s="11" t="e">
        <f>AVERAGE('Mesures Low2'!BQ$51:BQ$61)</f>
        <v>#DIV/0!</v>
      </c>
      <c r="P73" s="4"/>
      <c r="Q73" s="12" t="e">
        <f>AVERAGE('Mesures Low2'!BT$51:BT$61)</f>
        <v>#DIV/0!</v>
      </c>
    </row>
    <row r="74" spans="2:17" x14ac:dyDescent="0.3">
      <c r="B74" s="20" t="s">
        <v>29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2"/>
    </row>
    <row r="75" spans="2:17" x14ac:dyDescent="0.3">
      <c r="B75" s="23" t="s">
        <v>63</v>
      </c>
      <c r="C75" s="24"/>
      <c r="D75" s="24" t="s">
        <v>64</v>
      </c>
      <c r="E75" s="24"/>
      <c r="F75" s="24" t="s">
        <v>65</v>
      </c>
      <c r="G75" s="24"/>
      <c r="H75" s="24" t="s">
        <v>66</v>
      </c>
      <c r="I75" s="24"/>
      <c r="J75" s="23" t="s">
        <v>67</v>
      </c>
      <c r="K75" s="24"/>
      <c r="L75" s="24" t="s">
        <v>68</v>
      </c>
      <c r="M75" s="24"/>
      <c r="N75" s="24" t="s">
        <v>69</v>
      </c>
      <c r="O75" s="24"/>
      <c r="P75" s="24" t="s">
        <v>70</v>
      </c>
      <c r="Q75" s="25"/>
    </row>
    <row r="76" spans="2:17" x14ac:dyDescent="0.3">
      <c r="B76" s="2" t="s">
        <v>6</v>
      </c>
      <c r="C76" s="1" t="s">
        <v>3</v>
      </c>
      <c r="D76" s="1" t="s">
        <v>4</v>
      </c>
      <c r="E76" s="1" t="s">
        <v>5</v>
      </c>
      <c r="F76" s="1" t="s">
        <v>6</v>
      </c>
      <c r="G76" s="1" t="s">
        <v>3</v>
      </c>
      <c r="H76" s="1" t="s">
        <v>4</v>
      </c>
      <c r="I76" s="1" t="s">
        <v>5</v>
      </c>
      <c r="J76" s="7" t="s">
        <v>6</v>
      </c>
      <c r="K76" s="1" t="s">
        <v>3</v>
      </c>
      <c r="L76" s="1" t="s">
        <v>4</v>
      </c>
      <c r="M76" s="1" t="s">
        <v>5</v>
      </c>
      <c r="N76" s="1" t="s">
        <v>6</v>
      </c>
      <c r="O76" s="1" t="s">
        <v>3</v>
      </c>
      <c r="P76" s="1" t="s">
        <v>4</v>
      </c>
      <c r="Q76" s="3" t="s">
        <v>5</v>
      </c>
    </row>
    <row r="77" spans="2:17" x14ac:dyDescent="0.3">
      <c r="B77" s="7">
        <v>40</v>
      </c>
      <c r="C77" s="6" t="e">
        <f>AVERAGE('Mesures Low1'!BW$3:BW$13)</f>
        <v>#DIV/0!</v>
      </c>
      <c r="D77" s="1"/>
      <c r="E77" s="6" t="e">
        <f>AVERAGE('Mesures Low1'!BZ$3:BZ$13)</f>
        <v>#DIV/0!</v>
      </c>
      <c r="F77" s="1"/>
      <c r="G77" s="6" t="e">
        <f>AVERAGE('Mesures Low1'!BX$3:BX$13)</f>
        <v>#DIV/0!</v>
      </c>
      <c r="H77" s="1"/>
      <c r="I77" s="6" t="e">
        <f>AVERAGE('Mesures Low1'!CA$3:CA$13)</f>
        <v>#DIV/0!</v>
      </c>
      <c r="J77" s="7">
        <v>40</v>
      </c>
      <c r="K77" s="6" t="e">
        <f>AVERAGE('Mesures Low2'!BW$3:BW$13)</f>
        <v>#DIV/0!</v>
      </c>
      <c r="L77" s="1"/>
      <c r="M77" s="6" t="e">
        <f>AVERAGE('Mesures Low2'!BZ$3:BZ$13)</f>
        <v>#DIV/0!</v>
      </c>
      <c r="N77" s="1"/>
      <c r="O77" s="6" t="e">
        <f>AVERAGE('Mesures Low2'!BY$3:BY$13)</f>
        <v>#DIV/0!</v>
      </c>
      <c r="P77" s="1"/>
      <c r="Q77" s="10" t="e">
        <f>AVERAGE('Mesures Low2'!CB$3:CB$13)</f>
        <v>#DIV/0!</v>
      </c>
    </row>
    <row r="78" spans="2:17" x14ac:dyDescent="0.3">
      <c r="B78" s="7">
        <v>45</v>
      </c>
      <c r="C78" s="6" t="e">
        <f>AVERAGE('Mesures Low1'!BW$15:BW$25)</f>
        <v>#DIV/0!</v>
      </c>
      <c r="D78" s="1"/>
      <c r="E78" s="6" t="e">
        <f>AVERAGE('Mesures Low1'!BZ$15:BZ$25)</f>
        <v>#DIV/0!</v>
      </c>
      <c r="F78" s="1"/>
      <c r="G78" s="6" t="e">
        <f>AVERAGE('Mesures Low1'!BX$15:BX$25)</f>
        <v>#DIV/0!</v>
      </c>
      <c r="H78" s="1"/>
      <c r="I78" s="6" t="e">
        <f>AVERAGE('Mesures Low1'!CA$15:CA$25)</f>
        <v>#DIV/0!</v>
      </c>
      <c r="J78" s="7">
        <v>45</v>
      </c>
      <c r="K78" s="6" t="e">
        <f>AVERAGE('Mesures Low2'!BW$15:BW$25)</f>
        <v>#DIV/0!</v>
      </c>
      <c r="L78" s="1"/>
      <c r="M78" s="6" t="e">
        <f>AVERAGE('Mesures Low2'!BZ$15:BZ$25)</f>
        <v>#DIV/0!</v>
      </c>
      <c r="N78" s="1"/>
      <c r="O78" s="6" t="e">
        <f>AVERAGE('Mesures Low2'!BY$15:BY$25)</f>
        <v>#DIV/0!</v>
      </c>
      <c r="P78" s="13"/>
      <c r="Q78" s="10" t="e">
        <f>AVERAGE('Mesures Low2'!CB$15:CB$25)</f>
        <v>#DIV/0!</v>
      </c>
    </row>
    <row r="79" spans="2:17" x14ac:dyDescent="0.3">
      <c r="B79" s="7">
        <v>50</v>
      </c>
      <c r="C79" s="6" t="e">
        <f>AVERAGE('Mesures Low1'!BW$27:BW$37)</f>
        <v>#DIV/0!</v>
      </c>
      <c r="D79" s="1"/>
      <c r="E79" s="6" t="e">
        <f>AVERAGE('Mesures Low1'!BZ$27:BZ$37)</f>
        <v>#DIV/0!</v>
      </c>
      <c r="F79" s="1"/>
      <c r="G79" s="6" t="e">
        <f>AVERAGE('Mesures Low1'!BX$27:BX$37)</f>
        <v>#DIV/0!</v>
      </c>
      <c r="H79" s="1"/>
      <c r="I79" s="6" t="e">
        <f>AVERAGE('Mesures Low1'!CA$27:CA$37)</f>
        <v>#DIV/0!</v>
      </c>
      <c r="J79" s="7">
        <v>50</v>
      </c>
      <c r="K79" s="6" t="e">
        <f>AVERAGE('Mesures Low2'!BW$27:BW$37)</f>
        <v>#DIV/0!</v>
      </c>
      <c r="L79" s="1"/>
      <c r="M79" s="6" t="e">
        <f>AVERAGE('Mesures Low2'!BZ$27:BZ$37)</f>
        <v>#DIV/0!</v>
      </c>
      <c r="N79" s="1"/>
      <c r="O79" s="6" t="e">
        <f>AVERAGE('Mesures Low2'!BY$27:BY$37)</f>
        <v>#DIV/0!</v>
      </c>
      <c r="P79" s="1"/>
      <c r="Q79" s="10" t="e">
        <f>AVERAGE('Mesures Low2'!CB$27:CB$37)</f>
        <v>#DIV/0!</v>
      </c>
    </row>
    <row r="80" spans="2:17" x14ac:dyDescent="0.3">
      <c r="B80" s="7">
        <v>55</v>
      </c>
      <c r="C80" s="6" t="e">
        <f>AVERAGE('Mesures Low1'!BW$39:BW$49)</f>
        <v>#DIV/0!</v>
      </c>
      <c r="D80" s="1"/>
      <c r="E80" s="6" t="e">
        <f>AVERAGE('Mesures Low1'!BZ$39:BZ$49)</f>
        <v>#DIV/0!</v>
      </c>
      <c r="F80" s="1"/>
      <c r="G80" s="6" t="e">
        <f>AVERAGE('Mesures Low1'!BX$39:BX$49)</f>
        <v>#DIV/0!</v>
      </c>
      <c r="H80" s="1"/>
      <c r="I80" s="6" t="e">
        <f>AVERAGE('Mesures Low1'!CA$39:CA$49)</f>
        <v>#DIV/0!</v>
      </c>
      <c r="J80" s="7">
        <v>55</v>
      </c>
      <c r="K80" s="6" t="e">
        <f>AVERAGE('Mesures Low2'!BW$39:BW$49)</f>
        <v>#DIV/0!</v>
      </c>
      <c r="L80" s="1"/>
      <c r="M80" s="6" t="e">
        <f>AVERAGE('Mesures Low2'!BZ$39:BZ$49)</f>
        <v>#DIV/0!</v>
      </c>
      <c r="N80" s="1"/>
      <c r="O80" s="6" t="e">
        <f>AVERAGE('Mesures Low2'!BY$39:BY$49)</f>
        <v>#DIV/0!</v>
      </c>
      <c r="P80" s="1"/>
      <c r="Q80" s="10" t="e">
        <f>AVERAGE('Mesures Low2'!CB$39:CB$49)</f>
        <v>#DIV/0!</v>
      </c>
    </row>
    <row r="81" spans="2:17" ht="15" thickBot="1" x14ac:dyDescent="0.35">
      <c r="B81" s="8">
        <v>60</v>
      </c>
      <c r="C81" s="11" t="e">
        <f>AVERAGE('Mesures Low1'!BW$51:BW$61)</f>
        <v>#DIV/0!</v>
      </c>
      <c r="D81" s="4"/>
      <c r="E81" s="11" t="e">
        <f>AVERAGE('Mesures Low1'!BZ$51:BZ$61)</f>
        <v>#DIV/0!</v>
      </c>
      <c r="F81" s="4"/>
      <c r="G81" s="11" t="e">
        <f>AVERAGE('Mesures Low1'!BX$51:BX$61)</f>
        <v>#DIV/0!</v>
      </c>
      <c r="H81" s="4"/>
      <c r="I81" s="11" t="e">
        <f>AVERAGE('Mesures Low1'!CA$51:CA$61)</f>
        <v>#DIV/0!</v>
      </c>
      <c r="J81" s="8">
        <v>60</v>
      </c>
      <c r="K81" s="11" t="e">
        <f>AVERAGE('Mesures Low2'!BW$51:BW$61)</f>
        <v>#DIV/0!</v>
      </c>
      <c r="L81" s="4"/>
      <c r="M81" s="11" t="e">
        <f>AVERAGE('Mesures Low2'!BZ$51:BZ$61)</f>
        <v>#DIV/0!</v>
      </c>
      <c r="N81" s="4"/>
      <c r="O81" s="11" t="e">
        <f>AVERAGE('Mesures Low2'!BY$51:BY$61)</f>
        <v>#DIV/0!</v>
      </c>
      <c r="P81" s="4"/>
      <c r="Q81" s="12" t="e">
        <f>AVERAGE('Mesures Low2'!CB$51:CB$61)</f>
        <v>#DIV/0!</v>
      </c>
    </row>
    <row r="82" spans="2:17" x14ac:dyDescent="0.3">
      <c r="B82" s="20" t="s">
        <v>30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2"/>
    </row>
    <row r="83" spans="2:17" x14ac:dyDescent="0.3">
      <c r="B83" s="23" t="s">
        <v>63</v>
      </c>
      <c r="C83" s="24"/>
      <c r="D83" s="24" t="s">
        <v>64</v>
      </c>
      <c r="E83" s="24"/>
      <c r="F83" s="24" t="s">
        <v>65</v>
      </c>
      <c r="G83" s="24"/>
      <c r="H83" s="24" t="s">
        <v>66</v>
      </c>
      <c r="I83" s="24"/>
      <c r="J83" s="23" t="s">
        <v>67</v>
      </c>
      <c r="K83" s="24"/>
      <c r="L83" s="24" t="s">
        <v>68</v>
      </c>
      <c r="M83" s="24"/>
      <c r="N83" s="24" t="s">
        <v>69</v>
      </c>
      <c r="O83" s="24"/>
      <c r="P83" s="24" t="s">
        <v>70</v>
      </c>
      <c r="Q83" s="25"/>
    </row>
    <row r="84" spans="2:17" x14ac:dyDescent="0.3">
      <c r="B84" s="2" t="s">
        <v>6</v>
      </c>
      <c r="C84" s="1" t="s">
        <v>3</v>
      </c>
      <c r="D84" s="1" t="s">
        <v>4</v>
      </c>
      <c r="E84" s="1" t="s">
        <v>5</v>
      </c>
      <c r="F84" s="1" t="s">
        <v>6</v>
      </c>
      <c r="G84" s="1" t="s">
        <v>3</v>
      </c>
      <c r="H84" s="1" t="s">
        <v>4</v>
      </c>
      <c r="I84" s="1" t="s">
        <v>5</v>
      </c>
      <c r="J84" s="7" t="s">
        <v>6</v>
      </c>
      <c r="K84" s="1" t="s">
        <v>3</v>
      </c>
      <c r="L84" s="1" t="s">
        <v>4</v>
      </c>
      <c r="M84" s="1" t="s">
        <v>5</v>
      </c>
      <c r="N84" s="1" t="s">
        <v>6</v>
      </c>
      <c r="O84" s="1" t="s">
        <v>3</v>
      </c>
      <c r="P84" s="1" t="s">
        <v>4</v>
      </c>
      <c r="Q84" s="3" t="s">
        <v>5</v>
      </c>
    </row>
    <row r="85" spans="2:17" x14ac:dyDescent="0.3">
      <c r="B85" s="7">
        <v>40</v>
      </c>
      <c r="C85" s="6" t="e">
        <f>AVERAGE('Mesures Low1'!CE$3:CE$13)</f>
        <v>#DIV/0!</v>
      </c>
      <c r="D85" s="1"/>
      <c r="E85" s="6" t="e">
        <f>AVERAGE('Mesures Low1'!CH$3:CH$13)</f>
        <v>#DIV/0!</v>
      </c>
      <c r="F85" s="1"/>
      <c r="G85" s="6" t="e">
        <f>AVERAGE('Mesures Low1'!CF$3:CF$13)</f>
        <v>#DIV/0!</v>
      </c>
      <c r="H85" s="1"/>
      <c r="I85" s="6" t="e">
        <f>AVERAGE('Mesures Low1'!CI$3:CI$13)</f>
        <v>#DIV/0!</v>
      </c>
      <c r="J85" s="7">
        <v>40</v>
      </c>
      <c r="K85" s="6" t="e">
        <f>AVERAGE('Mesures Low2'!CE$3:CE$13)</f>
        <v>#DIV/0!</v>
      </c>
      <c r="L85" s="1"/>
      <c r="M85" s="6" t="e">
        <f>AVERAGE('Mesures Low2'!CH$3:CH$13)</f>
        <v>#DIV/0!</v>
      </c>
      <c r="N85" s="1"/>
      <c r="O85" s="6" t="e">
        <f>AVERAGE('Mesures Low2'!CG$3:CG$13)</f>
        <v>#DIV/0!</v>
      </c>
      <c r="P85" s="1"/>
      <c r="Q85" s="10" t="e">
        <f>AVERAGE('Mesures Low2'!CJ$3:CJ$13)</f>
        <v>#DIV/0!</v>
      </c>
    </row>
    <row r="86" spans="2:17" x14ac:dyDescent="0.3">
      <c r="B86" s="7">
        <v>45</v>
      </c>
      <c r="C86" s="6" t="e">
        <f>AVERAGE('Mesures Low1'!CE$15:CE$25)</f>
        <v>#DIV/0!</v>
      </c>
      <c r="D86" s="1"/>
      <c r="E86" s="6" t="e">
        <f>AVERAGE('Mesures Low1'!CH$15:CH$25)</f>
        <v>#DIV/0!</v>
      </c>
      <c r="F86" s="1"/>
      <c r="G86" s="6" t="e">
        <f>AVERAGE('Mesures Low1'!CF$15:CF$25)</f>
        <v>#DIV/0!</v>
      </c>
      <c r="H86" s="1"/>
      <c r="I86" s="6" t="e">
        <f>AVERAGE('Mesures Low1'!CI$15:CI$25)</f>
        <v>#DIV/0!</v>
      </c>
      <c r="J86" s="7">
        <v>45</v>
      </c>
      <c r="K86" s="6" t="e">
        <f>AVERAGE('Mesures Low2'!CE$15:CE$25)</f>
        <v>#DIV/0!</v>
      </c>
      <c r="L86" s="1"/>
      <c r="M86" s="6" t="e">
        <f>AVERAGE('Mesures Low2'!CH$15:CH$25)</f>
        <v>#DIV/0!</v>
      </c>
      <c r="N86" s="1"/>
      <c r="O86" s="6" t="e">
        <f>AVERAGE('Mesures Low2'!CG$15:CG$25)</f>
        <v>#DIV/0!</v>
      </c>
      <c r="P86" s="13"/>
      <c r="Q86" s="10" t="e">
        <f>AVERAGE('Mesures Low2'!CJ$15:CJ$25)</f>
        <v>#DIV/0!</v>
      </c>
    </row>
    <row r="87" spans="2:17" x14ac:dyDescent="0.3">
      <c r="B87" s="7">
        <v>50</v>
      </c>
      <c r="C87" s="6" t="e">
        <f>AVERAGE('Mesures Low1'!CE$27:CE$37)</f>
        <v>#DIV/0!</v>
      </c>
      <c r="D87" s="1"/>
      <c r="E87" s="6" t="e">
        <f>AVERAGE('Mesures Low1'!CH$27:CH$37)</f>
        <v>#DIV/0!</v>
      </c>
      <c r="F87" s="1"/>
      <c r="G87" s="6" t="e">
        <f>AVERAGE('Mesures Low1'!CF$27:CF$37)</f>
        <v>#DIV/0!</v>
      </c>
      <c r="H87" s="1"/>
      <c r="I87" s="6" t="e">
        <f>AVERAGE('Mesures Low1'!CI$27:CI$37)</f>
        <v>#DIV/0!</v>
      </c>
      <c r="J87" s="7">
        <v>50</v>
      </c>
      <c r="K87" s="6" t="e">
        <f>AVERAGE('Mesures Low2'!CE$27:CE$37)</f>
        <v>#DIV/0!</v>
      </c>
      <c r="L87" s="1"/>
      <c r="M87" s="6" t="e">
        <f>AVERAGE('Mesures Low2'!CH$27:CH$37)</f>
        <v>#DIV/0!</v>
      </c>
      <c r="N87" s="1"/>
      <c r="O87" s="6" t="e">
        <f>AVERAGE('Mesures Low2'!CG$27:CG$37)</f>
        <v>#DIV/0!</v>
      </c>
      <c r="P87" s="1"/>
      <c r="Q87" s="10" t="e">
        <f>AVERAGE('Mesures Low2'!CJ$27:CJ$37)</f>
        <v>#DIV/0!</v>
      </c>
    </row>
    <row r="88" spans="2:17" x14ac:dyDescent="0.3">
      <c r="B88" s="7">
        <v>55</v>
      </c>
      <c r="C88" s="6" t="e">
        <f>AVERAGE('Mesures Low1'!CE$39:CE$49)</f>
        <v>#DIV/0!</v>
      </c>
      <c r="D88" s="1"/>
      <c r="E88" s="6" t="e">
        <f>AVERAGE('Mesures Low1'!CH$39:CH$49)</f>
        <v>#DIV/0!</v>
      </c>
      <c r="F88" s="1"/>
      <c r="G88" s="6" t="e">
        <f>AVERAGE('Mesures Low1'!CF$39:CF$49)</f>
        <v>#DIV/0!</v>
      </c>
      <c r="H88" s="1"/>
      <c r="I88" s="6" t="e">
        <f>AVERAGE('Mesures Low1'!CI$39:CI$49)</f>
        <v>#DIV/0!</v>
      </c>
      <c r="J88" s="7">
        <v>55</v>
      </c>
      <c r="K88" s="6" t="e">
        <f>AVERAGE('Mesures Low2'!CE$39:CE$49)</f>
        <v>#DIV/0!</v>
      </c>
      <c r="L88" s="1"/>
      <c r="M88" s="6" t="e">
        <f>AVERAGE('Mesures Low2'!CH$39:CH$49)</f>
        <v>#DIV/0!</v>
      </c>
      <c r="N88" s="1"/>
      <c r="O88" s="6" t="e">
        <f>AVERAGE('Mesures Low2'!CG$39:CG$49)</f>
        <v>#DIV/0!</v>
      </c>
      <c r="P88" s="1"/>
      <c r="Q88" s="10" t="e">
        <f>AVERAGE('Mesures Low2'!CJ$39:CJ$49)</f>
        <v>#DIV/0!</v>
      </c>
    </row>
    <row r="89" spans="2:17" ht="15" thickBot="1" x14ac:dyDescent="0.35">
      <c r="B89" s="8">
        <v>60</v>
      </c>
      <c r="C89" s="11" t="e">
        <f>AVERAGE('Mesures Low1'!CE$51:CE$61)</f>
        <v>#DIV/0!</v>
      </c>
      <c r="D89" s="4"/>
      <c r="E89" s="11" t="e">
        <f>AVERAGE('Mesures Low1'!CH$51:CH$61)</f>
        <v>#DIV/0!</v>
      </c>
      <c r="F89" s="4"/>
      <c r="G89" s="11" t="e">
        <f>AVERAGE('Mesures Low1'!CF$51:CF$61)</f>
        <v>#DIV/0!</v>
      </c>
      <c r="H89" s="4"/>
      <c r="I89" s="11" t="e">
        <f>AVERAGE('Mesures Low1'!CI$51:CI$61)</f>
        <v>#DIV/0!</v>
      </c>
      <c r="J89" s="8">
        <v>60</v>
      </c>
      <c r="K89" s="11" t="e">
        <f>AVERAGE('Mesures Low2'!CE$51:CE$61)</f>
        <v>#DIV/0!</v>
      </c>
      <c r="L89" s="4"/>
      <c r="M89" s="11" t="e">
        <f>AVERAGE('Mesures Low2'!CH$51:CH$61)</f>
        <v>#DIV/0!</v>
      </c>
      <c r="N89" s="4"/>
      <c r="O89" s="11" t="e">
        <f>AVERAGE('Mesures Low2'!CG$51:CG$61)</f>
        <v>#DIV/0!</v>
      </c>
      <c r="P89" s="4"/>
      <c r="Q89" s="12" t="e">
        <f>AVERAGE('Mesures Low2'!CJ$51:CJ$61)</f>
        <v>#DIV/0!</v>
      </c>
    </row>
  </sheetData>
  <mergeCells count="99">
    <mergeCell ref="J11:K11"/>
    <mergeCell ref="L11:M11"/>
    <mergeCell ref="J19:K19"/>
    <mergeCell ref="L19:M19"/>
    <mergeCell ref="J27:K27"/>
    <mergeCell ref="L27:M27"/>
    <mergeCell ref="B18:Q18"/>
    <mergeCell ref="B19:C19"/>
    <mergeCell ref="D19:E19"/>
    <mergeCell ref="F19:G19"/>
    <mergeCell ref="N19:O19"/>
    <mergeCell ref="H19:I19"/>
    <mergeCell ref="P19:Q19"/>
    <mergeCell ref="B26:Q26"/>
    <mergeCell ref="B27:C27"/>
    <mergeCell ref="D27:E27"/>
    <mergeCell ref="B74:Q74"/>
    <mergeCell ref="B75:C75"/>
    <mergeCell ref="D75:E75"/>
    <mergeCell ref="F75:G75"/>
    <mergeCell ref="H75:I75"/>
    <mergeCell ref="N75:O75"/>
    <mergeCell ref="P75:Q75"/>
    <mergeCell ref="J75:K75"/>
    <mergeCell ref="L75:M75"/>
    <mergeCell ref="B66:Q66"/>
    <mergeCell ref="B67:C67"/>
    <mergeCell ref="D67:E67"/>
    <mergeCell ref="F67:G67"/>
    <mergeCell ref="H67:I67"/>
    <mergeCell ref="N67:O67"/>
    <mergeCell ref="P67:Q67"/>
    <mergeCell ref="J67:K67"/>
    <mergeCell ref="L67:M67"/>
    <mergeCell ref="B58:Q58"/>
    <mergeCell ref="B59:C59"/>
    <mergeCell ref="D59:E59"/>
    <mergeCell ref="F59:G59"/>
    <mergeCell ref="H59:I59"/>
    <mergeCell ref="N59:O59"/>
    <mergeCell ref="P59:Q59"/>
    <mergeCell ref="J59:K59"/>
    <mergeCell ref="L59:M59"/>
    <mergeCell ref="B50:Q50"/>
    <mergeCell ref="B51:C51"/>
    <mergeCell ref="D51:E51"/>
    <mergeCell ref="F51:G51"/>
    <mergeCell ref="H51:I51"/>
    <mergeCell ref="N51:O51"/>
    <mergeCell ref="P51:Q51"/>
    <mergeCell ref="J51:K51"/>
    <mergeCell ref="L51:M51"/>
    <mergeCell ref="B42:Q42"/>
    <mergeCell ref="B43:C43"/>
    <mergeCell ref="D43:E43"/>
    <mergeCell ref="F43:G43"/>
    <mergeCell ref="H43:I43"/>
    <mergeCell ref="N43:O43"/>
    <mergeCell ref="P43:Q43"/>
    <mergeCell ref="J43:K43"/>
    <mergeCell ref="L43:M43"/>
    <mergeCell ref="B2:Q2"/>
    <mergeCell ref="B10:Q10"/>
    <mergeCell ref="B11:C11"/>
    <mergeCell ref="D11:E11"/>
    <mergeCell ref="F11:G11"/>
    <mergeCell ref="N11:O11"/>
    <mergeCell ref="H11:I11"/>
    <mergeCell ref="P11:Q11"/>
    <mergeCell ref="F3:G3"/>
    <mergeCell ref="B3:C3"/>
    <mergeCell ref="D3:E3"/>
    <mergeCell ref="N3:O3"/>
    <mergeCell ref="H3:I3"/>
    <mergeCell ref="P3:Q3"/>
    <mergeCell ref="J3:K3"/>
    <mergeCell ref="L3:M3"/>
    <mergeCell ref="H35:I35"/>
    <mergeCell ref="F27:G27"/>
    <mergeCell ref="N27:O27"/>
    <mergeCell ref="H27:I27"/>
    <mergeCell ref="P27:Q27"/>
    <mergeCell ref="B34:Q34"/>
    <mergeCell ref="P35:Q35"/>
    <mergeCell ref="J35:K35"/>
    <mergeCell ref="L35:M35"/>
    <mergeCell ref="B35:C35"/>
    <mergeCell ref="D35:E35"/>
    <mergeCell ref="F35:G35"/>
    <mergeCell ref="N35:O35"/>
    <mergeCell ref="B82:Q82"/>
    <mergeCell ref="B83:C83"/>
    <mergeCell ref="D83:E83"/>
    <mergeCell ref="F83:G83"/>
    <mergeCell ref="H83:I83"/>
    <mergeCell ref="J83:K83"/>
    <mergeCell ref="L83:M83"/>
    <mergeCell ref="N83:O83"/>
    <mergeCell ref="P83:Q8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DD45-7FC6-4590-92F3-685AE1B94B59}">
  <dimension ref="A1:CJ63"/>
  <sheetViews>
    <sheetView topLeftCell="AJ1" workbookViewId="0">
      <selection activeCell="AP3" sqref="AP3:AW63"/>
    </sheetView>
  </sheetViews>
  <sheetFormatPr baseColWidth="10" defaultRowHeight="14.4" x14ac:dyDescent="0.3"/>
  <sheetData>
    <row r="1" spans="1:88" x14ac:dyDescent="0.3">
      <c r="B1" s="24" t="s">
        <v>32</v>
      </c>
      <c r="C1" s="24"/>
      <c r="D1" s="24"/>
      <c r="E1" s="24"/>
      <c r="F1" s="24"/>
      <c r="G1" s="24"/>
      <c r="H1" s="24"/>
      <c r="J1" s="24" t="s">
        <v>34</v>
      </c>
      <c r="K1" s="24"/>
      <c r="L1" s="24"/>
      <c r="M1" s="24"/>
      <c r="N1" s="24"/>
      <c r="O1" s="24"/>
      <c r="P1" s="24"/>
      <c r="R1" s="24" t="s">
        <v>35</v>
      </c>
      <c r="S1" s="24"/>
      <c r="T1" s="24"/>
      <c r="U1" s="24"/>
      <c r="V1" s="24"/>
      <c r="W1" s="24"/>
      <c r="X1" s="24"/>
      <c r="Z1" s="24" t="s">
        <v>36</v>
      </c>
      <c r="AA1" s="24"/>
      <c r="AB1" s="24"/>
      <c r="AC1" s="24"/>
      <c r="AD1" s="24"/>
      <c r="AE1" s="24"/>
      <c r="AF1" s="24"/>
      <c r="AH1" s="24" t="s">
        <v>37</v>
      </c>
      <c r="AI1" s="24"/>
      <c r="AJ1" s="24"/>
      <c r="AK1" s="24"/>
      <c r="AL1" s="24"/>
      <c r="AM1" s="24"/>
      <c r="AN1" s="24"/>
      <c r="AP1" s="24" t="s">
        <v>38</v>
      </c>
      <c r="AQ1" s="24"/>
      <c r="AR1" s="24"/>
      <c r="AS1" s="24"/>
      <c r="AT1" s="24"/>
      <c r="AU1" s="24"/>
      <c r="AV1" s="24"/>
      <c r="AX1" s="24" t="s">
        <v>39</v>
      </c>
      <c r="AY1" s="24"/>
      <c r="AZ1" s="24"/>
      <c r="BA1" s="24"/>
      <c r="BB1" s="24"/>
      <c r="BC1" s="24"/>
      <c r="BD1" s="24"/>
      <c r="BF1" s="24" t="s">
        <v>40</v>
      </c>
      <c r="BG1" s="24"/>
      <c r="BH1" s="24"/>
      <c r="BI1" s="24"/>
      <c r="BJ1" s="24"/>
      <c r="BK1" s="24"/>
      <c r="BL1" s="24"/>
      <c r="BN1" s="24" t="s">
        <v>41</v>
      </c>
      <c r="BO1" s="24"/>
      <c r="BP1" s="24"/>
      <c r="BQ1" s="24"/>
      <c r="BR1" s="24"/>
      <c r="BS1" s="24"/>
      <c r="BT1" s="24"/>
      <c r="BV1" s="24" t="s">
        <v>42</v>
      </c>
      <c r="BW1" s="24"/>
      <c r="BX1" s="24"/>
      <c r="BY1" s="24"/>
      <c r="BZ1" s="24"/>
      <c r="CA1" s="24"/>
      <c r="CB1" s="24"/>
      <c r="CD1" s="24" t="s">
        <v>43</v>
      </c>
      <c r="CE1" s="24"/>
      <c r="CF1" s="24"/>
      <c r="CG1" s="24"/>
      <c r="CH1" s="24"/>
      <c r="CI1" s="24"/>
      <c r="CJ1" s="24"/>
    </row>
    <row r="2" spans="1:88" x14ac:dyDescent="0.3">
      <c r="B2" s="1" t="s">
        <v>33</v>
      </c>
      <c r="C2" s="1" t="s">
        <v>1</v>
      </c>
      <c r="D2" s="1" t="s">
        <v>21</v>
      </c>
      <c r="E2" s="1" t="s">
        <v>22</v>
      </c>
      <c r="F2" s="1" t="s">
        <v>2</v>
      </c>
      <c r="G2" s="1" t="s">
        <v>23</v>
      </c>
      <c r="H2" s="1" t="s">
        <v>24</v>
      </c>
      <c r="J2" s="1" t="s">
        <v>33</v>
      </c>
      <c r="K2" s="1" t="s">
        <v>1</v>
      </c>
      <c r="L2" s="1" t="s">
        <v>21</v>
      </c>
      <c r="M2" s="1" t="s">
        <v>22</v>
      </c>
      <c r="N2" s="1" t="s">
        <v>2</v>
      </c>
      <c r="O2" s="1" t="s">
        <v>23</v>
      </c>
      <c r="P2" s="1" t="s">
        <v>24</v>
      </c>
      <c r="R2" s="1" t="s">
        <v>33</v>
      </c>
      <c r="S2" s="1" t="s">
        <v>1</v>
      </c>
      <c r="T2" s="1" t="s">
        <v>21</v>
      </c>
      <c r="U2" s="1" t="s">
        <v>22</v>
      </c>
      <c r="V2" s="1" t="s">
        <v>2</v>
      </c>
      <c r="W2" s="1" t="s">
        <v>23</v>
      </c>
      <c r="X2" s="1" t="s">
        <v>24</v>
      </c>
      <c r="Z2" s="1" t="s">
        <v>33</v>
      </c>
      <c r="AA2" s="1" t="s">
        <v>1</v>
      </c>
      <c r="AB2" s="1" t="s">
        <v>21</v>
      </c>
      <c r="AC2" s="1" t="s">
        <v>22</v>
      </c>
      <c r="AD2" s="1" t="s">
        <v>2</v>
      </c>
      <c r="AE2" s="1" t="s">
        <v>23</v>
      </c>
      <c r="AF2" s="1" t="s">
        <v>24</v>
      </c>
      <c r="AH2" s="1" t="s">
        <v>33</v>
      </c>
      <c r="AI2" s="1" t="s">
        <v>1</v>
      </c>
      <c r="AJ2" s="1" t="s">
        <v>21</v>
      </c>
      <c r="AK2" s="1" t="s">
        <v>22</v>
      </c>
      <c r="AL2" s="1" t="s">
        <v>2</v>
      </c>
      <c r="AM2" s="1" t="s">
        <v>23</v>
      </c>
      <c r="AN2" s="1" t="s">
        <v>24</v>
      </c>
      <c r="AP2" s="1" t="s">
        <v>33</v>
      </c>
      <c r="AQ2" s="1" t="s">
        <v>1</v>
      </c>
      <c r="AR2" s="1" t="s">
        <v>21</v>
      </c>
      <c r="AS2" s="1" t="s">
        <v>22</v>
      </c>
      <c r="AT2" s="1" t="s">
        <v>2</v>
      </c>
      <c r="AU2" s="1" t="s">
        <v>23</v>
      </c>
      <c r="AV2" s="1" t="s">
        <v>24</v>
      </c>
      <c r="AX2" s="1" t="s">
        <v>33</v>
      </c>
      <c r="AY2" s="1" t="s">
        <v>1</v>
      </c>
      <c r="AZ2" s="1" t="s">
        <v>21</v>
      </c>
      <c r="BA2" s="1" t="s">
        <v>22</v>
      </c>
      <c r="BB2" s="1" t="s">
        <v>2</v>
      </c>
      <c r="BC2" s="1" t="s">
        <v>23</v>
      </c>
      <c r="BD2" s="1" t="s">
        <v>24</v>
      </c>
      <c r="BF2" s="1" t="s">
        <v>33</v>
      </c>
      <c r="BG2" s="1" t="s">
        <v>1</v>
      </c>
      <c r="BH2" s="1" t="s">
        <v>21</v>
      </c>
      <c r="BI2" s="1" t="s">
        <v>22</v>
      </c>
      <c r="BJ2" s="1" t="s">
        <v>2</v>
      </c>
      <c r="BK2" s="1" t="s">
        <v>23</v>
      </c>
      <c r="BL2" s="1" t="s">
        <v>24</v>
      </c>
      <c r="BN2" s="1" t="s">
        <v>33</v>
      </c>
      <c r="BO2" s="1" t="s">
        <v>1</v>
      </c>
      <c r="BP2" s="1" t="s">
        <v>21</v>
      </c>
      <c r="BQ2" s="1" t="s">
        <v>22</v>
      </c>
      <c r="BR2" s="1" t="s">
        <v>2</v>
      </c>
      <c r="BS2" s="1" t="s">
        <v>23</v>
      </c>
      <c r="BT2" s="1" t="s">
        <v>24</v>
      </c>
      <c r="BV2" s="1" t="s">
        <v>33</v>
      </c>
      <c r="BW2" s="1" t="s">
        <v>1</v>
      </c>
      <c r="BX2" s="1" t="s">
        <v>21</v>
      </c>
      <c r="BY2" s="1" t="s">
        <v>22</v>
      </c>
      <c r="BZ2" s="1" t="s">
        <v>2</v>
      </c>
      <c r="CA2" s="1" t="s">
        <v>23</v>
      </c>
      <c r="CB2" s="1" t="s">
        <v>24</v>
      </c>
      <c r="CD2" s="1" t="s">
        <v>33</v>
      </c>
      <c r="CE2" s="1" t="s">
        <v>1</v>
      </c>
      <c r="CF2" s="1" t="s">
        <v>21</v>
      </c>
      <c r="CG2" s="1" t="s">
        <v>22</v>
      </c>
      <c r="CH2" s="1" t="s">
        <v>2</v>
      </c>
      <c r="CI2" s="1" t="s">
        <v>23</v>
      </c>
      <c r="CJ2" s="1" t="s">
        <v>24</v>
      </c>
    </row>
    <row r="3" spans="1:88" x14ac:dyDescent="0.3">
      <c r="A3" s="16" t="s">
        <v>44</v>
      </c>
      <c r="B3" s="9"/>
      <c r="C3" s="9"/>
      <c r="D3" s="9"/>
      <c r="E3" s="9"/>
      <c r="F3" s="9"/>
      <c r="G3" s="9"/>
      <c r="H3" s="9"/>
      <c r="J3" s="9"/>
      <c r="K3" s="9"/>
      <c r="L3" s="9"/>
      <c r="M3" s="9"/>
      <c r="N3" s="9"/>
      <c r="O3" s="9"/>
      <c r="P3" s="9"/>
      <c r="R3" s="9"/>
      <c r="S3" s="9"/>
      <c r="T3" s="9"/>
      <c r="U3" s="9"/>
      <c r="V3" s="9"/>
      <c r="W3" s="9"/>
      <c r="X3" s="9"/>
      <c r="Z3" s="9"/>
      <c r="AA3" s="9"/>
      <c r="AB3" s="9"/>
      <c r="AC3" s="9"/>
      <c r="AD3" s="9"/>
      <c r="AE3" s="9"/>
      <c r="AF3" s="9"/>
      <c r="AH3" s="9"/>
      <c r="AI3" s="9"/>
      <c r="AJ3" s="9"/>
      <c r="AK3" s="9"/>
      <c r="AL3" s="9"/>
      <c r="AM3" s="9"/>
      <c r="AN3" s="9"/>
      <c r="AP3" s="9"/>
      <c r="AQ3" s="9"/>
      <c r="AR3" s="9"/>
      <c r="AS3" s="9"/>
      <c r="AT3" s="9"/>
      <c r="AU3" s="9"/>
      <c r="AV3" s="9"/>
      <c r="AX3" s="9"/>
      <c r="AY3" s="9"/>
      <c r="AZ3" s="9"/>
      <c r="BA3" s="9"/>
      <c r="BB3" s="9"/>
      <c r="BC3" s="9"/>
      <c r="BD3" s="9"/>
      <c r="BF3" s="9"/>
      <c r="BG3" s="9"/>
      <c r="BH3" s="9"/>
      <c r="BI3" s="9"/>
      <c r="BJ3" s="9"/>
      <c r="BK3" s="9"/>
      <c r="BL3" s="9"/>
      <c r="BN3" s="9"/>
      <c r="BO3" s="9"/>
      <c r="BP3" s="9"/>
      <c r="BQ3" s="9"/>
      <c r="BR3" s="9"/>
      <c r="BS3" s="9"/>
      <c r="BT3" s="9"/>
      <c r="BV3" s="9"/>
      <c r="BW3" s="9"/>
      <c r="BX3" s="9"/>
      <c r="BY3" s="9"/>
      <c r="BZ3" s="9"/>
      <c r="CA3" s="9"/>
      <c r="CB3" s="9"/>
      <c r="CD3" s="9"/>
      <c r="CE3" s="9"/>
      <c r="CF3" s="9"/>
      <c r="CG3" s="9"/>
      <c r="CH3" s="9"/>
      <c r="CI3" s="9"/>
      <c r="CJ3" s="9"/>
    </row>
    <row r="4" spans="1:88" x14ac:dyDescent="0.3">
      <c r="B4" s="9"/>
      <c r="C4" s="9"/>
      <c r="D4" s="9"/>
      <c r="E4" s="9"/>
      <c r="F4" s="9"/>
      <c r="G4" s="9"/>
      <c r="H4" s="9"/>
      <c r="J4" s="9"/>
      <c r="K4" s="9"/>
      <c r="L4" s="9"/>
      <c r="M4" s="9"/>
      <c r="N4" s="9"/>
      <c r="O4" s="9"/>
      <c r="P4" s="9"/>
      <c r="R4" s="9"/>
      <c r="S4" s="9"/>
      <c r="T4" s="9"/>
      <c r="U4" s="9"/>
      <c r="V4" s="9"/>
      <c r="W4" s="9"/>
      <c r="X4" s="9"/>
      <c r="Z4" s="9"/>
      <c r="AA4" s="9"/>
      <c r="AB4" s="9"/>
      <c r="AC4" s="9"/>
      <c r="AD4" s="9"/>
      <c r="AE4" s="9"/>
      <c r="AF4" s="9"/>
      <c r="AH4" s="9"/>
      <c r="AI4" s="9"/>
      <c r="AJ4" s="9"/>
      <c r="AK4" s="9"/>
      <c r="AL4" s="9"/>
      <c r="AM4" s="9"/>
      <c r="AN4" s="9"/>
      <c r="AP4" s="9"/>
      <c r="AQ4" s="9"/>
      <c r="AR4" s="9"/>
      <c r="AS4" s="9"/>
      <c r="AT4" s="9"/>
      <c r="AU4" s="9"/>
      <c r="AV4" s="9"/>
      <c r="AX4" s="9"/>
      <c r="AY4" s="9"/>
      <c r="AZ4" s="9"/>
      <c r="BA4" s="9"/>
      <c r="BB4" s="9"/>
      <c r="BC4" s="9"/>
      <c r="BD4" s="9"/>
      <c r="BF4" s="9"/>
      <c r="BG4" s="9"/>
      <c r="BH4" s="9"/>
      <c r="BI4" s="9"/>
      <c r="BJ4" s="9"/>
      <c r="BK4" s="9"/>
      <c r="BL4" s="9"/>
      <c r="BN4" s="9"/>
      <c r="BO4" s="9"/>
      <c r="BP4" s="9"/>
      <c r="BQ4" s="9"/>
      <c r="BR4" s="9"/>
      <c r="BS4" s="9"/>
      <c r="BT4" s="9"/>
      <c r="BV4" s="9"/>
      <c r="BW4" s="9"/>
      <c r="BX4" s="9"/>
      <c r="BY4" s="9"/>
      <c r="BZ4" s="9"/>
      <c r="CA4" s="9"/>
      <c r="CB4" s="9"/>
      <c r="CD4" s="9"/>
      <c r="CE4" s="9"/>
      <c r="CF4" s="9"/>
      <c r="CG4" s="9"/>
      <c r="CH4" s="9"/>
      <c r="CI4" s="9"/>
      <c r="CJ4" s="9"/>
    </row>
    <row r="5" spans="1:88" x14ac:dyDescent="0.3">
      <c r="B5" s="9"/>
      <c r="C5" s="9"/>
      <c r="D5" s="9"/>
      <c r="E5" s="9"/>
      <c r="F5" s="9"/>
      <c r="G5" s="9"/>
      <c r="H5" s="9"/>
      <c r="J5" s="9"/>
      <c r="K5" s="9"/>
      <c r="L5" s="9"/>
      <c r="M5" s="9"/>
      <c r="N5" s="9"/>
      <c r="O5" s="9"/>
      <c r="P5" s="9"/>
      <c r="R5" s="9"/>
      <c r="S5" s="9"/>
      <c r="T5" s="9"/>
      <c r="U5" s="9"/>
      <c r="V5" s="9"/>
      <c r="W5" s="9"/>
      <c r="X5" s="9"/>
      <c r="Z5" s="9"/>
      <c r="AA5" s="9"/>
      <c r="AB5" s="9"/>
      <c r="AC5" s="9"/>
      <c r="AD5" s="9"/>
      <c r="AE5" s="9"/>
      <c r="AF5" s="9"/>
      <c r="AH5" s="9"/>
      <c r="AI5" s="9"/>
      <c r="AJ5" s="9"/>
      <c r="AK5" s="9"/>
      <c r="AL5" s="9"/>
      <c r="AM5" s="9"/>
      <c r="AN5" s="9"/>
      <c r="AP5" s="9"/>
      <c r="AQ5" s="9"/>
      <c r="AR5" s="9"/>
      <c r="AS5" s="9"/>
      <c r="AT5" s="9"/>
      <c r="AU5" s="9"/>
      <c r="AV5" s="9"/>
      <c r="AX5" s="9"/>
      <c r="AY5" s="9"/>
      <c r="AZ5" s="9"/>
      <c r="BA5" s="9"/>
      <c r="BB5" s="9"/>
      <c r="BC5" s="9"/>
      <c r="BD5" s="9"/>
      <c r="BF5" s="9"/>
      <c r="BG5" s="9"/>
      <c r="BH5" s="9"/>
      <c r="BI5" s="9"/>
      <c r="BJ5" s="9"/>
      <c r="BK5" s="9"/>
      <c r="BL5" s="9"/>
      <c r="BN5" s="9"/>
      <c r="BO5" s="9"/>
      <c r="BP5" s="9"/>
      <c r="BQ5" s="9"/>
      <c r="BR5" s="9"/>
      <c r="BS5" s="9"/>
      <c r="BT5" s="9"/>
      <c r="BV5" s="9"/>
      <c r="BW5" s="9"/>
      <c r="BX5" s="9"/>
      <c r="BY5" s="9"/>
      <c r="BZ5" s="9"/>
      <c r="CA5" s="9"/>
      <c r="CB5" s="9"/>
      <c r="CD5" s="9"/>
      <c r="CE5" s="9"/>
      <c r="CF5" s="9"/>
      <c r="CG5" s="9"/>
      <c r="CH5" s="9"/>
      <c r="CI5" s="9"/>
      <c r="CJ5" s="9"/>
    </row>
    <row r="6" spans="1:88" x14ac:dyDescent="0.3">
      <c r="B6" s="9"/>
      <c r="C6" s="9"/>
      <c r="D6" s="9"/>
      <c r="E6" s="9"/>
      <c r="F6" s="9"/>
      <c r="G6" s="9"/>
      <c r="H6" s="9"/>
      <c r="J6" s="9"/>
      <c r="K6" s="9"/>
      <c r="L6" s="9"/>
      <c r="M6" s="9"/>
      <c r="N6" s="9"/>
      <c r="O6" s="9"/>
      <c r="P6" s="9"/>
      <c r="R6" s="9"/>
      <c r="S6" s="9"/>
      <c r="T6" s="9"/>
      <c r="U6" s="9"/>
      <c r="V6" s="9"/>
      <c r="W6" s="9"/>
      <c r="X6" s="9"/>
      <c r="Z6" s="9"/>
      <c r="AA6" s="9"/>
      <c r="AB6" s="9"/>
      <c r="AC6" s="9"/>
      <c r="AD6" s="9"/>
      <c r="AE6" s="9"/>
      <c r="AF6" s="9"/>
      <c r="AH6" s="9"/>
      <c r="AI6" s="9"/>
      <c r="AJ6" s="9"/>
      <c r="AK6" s="9"/>
      <c r="AL6" s="9"/>
      <c r="AM6" s="9"/>
      <c r="AN6" s="9"/>
      <c r="AP6" s="9"/>
      <c r="AQ6" s="9"/>
      <c r="AR6" s="9"/>
      <c r="AS6" s="9"/>
      <c r="AT6" s="9"/>
      <c r="AU6" s="9"/>
      <c r="AV6" s="9"/>
      <c r="AX6" s="9"/>
      <c r="AY6" s="9"/>
      <c r="AZ6" s="9"/>
      <c r="BA6" s="9"/>
      <c r="BB6" s="9"/>
      <c r="BC6" s="9"/>
      <c r="BD6" s="9"/>
      <c r="BF6" s="9"/>
      <c r="BG6" s="9"/>
      <c r="BH6" s="9"/>
      <c r="BI6" s="9"/>
      <c r="BJ6" s="9"/>
      <c r="BK6" s="9"/>
      <c r="BL6" s="9"/>
      <c r="BN6" s="9"/>
      <c r="BO6" s="9"/>
      <c r="BP6" s="9"/>
      <c r="BQ6" s="9"/>
      <c r="BR6" s="9"/>
      <c r="BS6" s="9"/>
      <c r="BT6" s="9"/>
      <c r="BV6" s="9"/>
      <c r="BW6" s="9"/>
      <c r="BX6" s="9"/>
      <c r="BY6" s="9"/>
      <c r="BZ6" s="9"/>
      <c r="CA6" s="9"/>
      <c r="CB6" s="9"/>
      <c r="CD6" s="9"/>
      <c r="CE6" s="9"/>
      <c r="CF6" s="9"/>
      <c r="CG6" s="9"/>
      <c r="CH6" s="9"/>
      <c r="CI6" s="9"/>
      <c r="CJ6" s="9"/>
    </row>
    <row r="7" spans="1:88" x14ac:dyDescent="0.3">
      <c r="B7" s="9"/>
      <c r="C7" s="9"/>
      <c r="D7" s="9"/>
      <c r="E7" s="9"/>
      <c r="F7" s="9"/>
      <c r="G7" s="9"/>
      <c r="H7" s="9"/>
      <c r="J7" s="9"/>
      <c r="K7" s="9"/>
      <c r="L7" s="9"/>
      <c r="M7" s="9"/>
      <c r="N7" s="9"/>
      <c r="O7" s="9"/>
      <c r="P7" s="9"/>
      <c r="R7" s="9"/>
      <c r="S7" s="9"/>
      <c r="T7" s="9"/>
      <c r="U7" s="9"/>
      <c r="V7" s="9"/>
      <c r="W7" s="9"/>
      <c r="X7" s="9"/>
      <c r="Z7" s="9"/>
      <c r="AA7" s="9"/>
      <c r="AB7" s="9"/>
      <c r="AC7" s="9"/>
      <c r="AD7" s="9"/>
      <c r="AE7" s="9"/>
      <c r="AF7" s="9"/>
      <c r="AH7" s="9"/>
      <c r="AI7" s="9"/>
      <c r="AJ7" s="9"/>
      <c r="AK7" s="9"/>
      <c r="AL7" s="9"/>
      <c r="AM7" s="9"/>
      <c r="AN7" s="9"/>
      <c r="AP7" s="9"/>
      <c r="AQ7" s="9"/>
      <c r="AR7" s="9"/>
      <c r="AS7" s="9"/>
      <c r="AT7" s="9"/>
      <c r="AU7" s="9"/>
      <c r="AV7" s="9"/>
      <c r="AX7" s="9"/>
      <c r="AY7" s="9"/>
      <c r="AZ7" s="9"/>
      <c r="BA7" s="9"/>
      <c r="BB7" s="9"/>
      <c r="BC7" s="9"/>
      <c r="BD7" s="9"/>
      <c r="BF7" s="9"/>
      <c r="BG7" s="9"/>
      <c r="BH7" s="9"/>
      <c r="BI7" s="9"/>
      <c r="BJ7" s="9"/>
      <c r="BK7" s="9"/>
      <c r="BL7" s="9"/>
      <c r="BN7" s="9"/>
      <c r="BO7" s="9"/>
      <c r="BP7" s="9"/>
      <c r="BQ7" s="9"/>
      <c r="BR7" s="9"/>
      <c r="BS7" s="9"/>
      <c r="BT7" s="9"/>
      <c r="BV7" s="9"/>
      <c r="BW7" s="9"/>
      <c r="BX7" s="9"/>
      <c r="BY7" s="9"/>
      <c r="BZ7" s="9"/>
      <c r="CA7" s="9"/>
      <c r="CB7" s="9"/>
      <c r="CD7" s="9"/>
      <c r="CE7" s="9"/>
      <c r="CF7" s="9"/>
      <c r="CG7" s="9"/>
      <c r="CH7" s="9"/>
      <c r="CI7" s="9"/>
      <c r="CJ7" s="9"/>
    </row>
    <row r="8" spans="1:88" x14ac:dyDescent="0.3">
      <c r="B8" s="9"/>
      <c r="C8" s="9"/>
      <c r="D8" s="9"/>
      <c r="E8" s="9"/>
      <c r="F8" s="9"/>
      <c r="G8" s="9"/>
      <c r="H8" s="9"/>
      <c r="J8" s="9"/>
      <c r="K8" s="9"/>
      <c r="L8" s="9"/>
      <c r="M8" s="9"/>
      <c r="N8" s="9"/>
      <c r="O8" s="9"/>
      <c r="P8" s="9"/>
      <c r="R8" s="9"/>
      <c r="S8" s="9"/>
      <c r="T8" s="9"/>
      <c r="U8" s="9"/>
      <c r="V8" s="9"/>
      <c r="W8" s="9"/>
      <c r="X8" s="9"/>
      <c r="Z8" s="9"/>
      <c r="AA8" s="9"/>
      <c r="AB8" s="9"/>
      <c r="AC8" s="9"/>
      <c r="AD8" s="9"/>
      <c r="AE8" s="9"/>
      <c r="AF8" s="9"/>
      <c r="AH8" s="9"/>
      <c r="AI8" s="9"/>
      <c r="AJ8" s="9"/>
      <c r="AK8" s="9"/>
      <c r="AL8" s="9"/>
      <c r="AM8" s="9"/>
      <c r="AN8" s="9"/>
      <c r="AP8" s="9"/>
      <c r="AQ8" s="9"/>
      <c r="AR8" s="9"/>
      <c r="AS8" s="9"/>
      <c r="AT8" s="9"/>
      <c r="AU8" s="9"/>
      <c r="AV8" s="9"/>
      <c r="AX8" s="9"/>
      <c r="AY8" s="9"/>
      <c r="AZ8" s="9"/>
      <c r="BA8" s="9"/>
      <c r="BB8" s="9"/>
      <c r="BC8" s="9"/>
      <c r="BD8" s="9"/>
      <c r="BF8" s="9"/>
      <c r="BG8" s="9"/>
      <c r="BH8" s="9"/>
      <c r="BI8" s="9"/>
      <c r="BJ8" s="9"/>
      <c r="BK8" s="9"/>
      <c r="BL8" s="9"/>
      <c r="BN8" s="9"/>
      <c r="BO8" s="9"/>
      <c r="BP8" s="9"/>
      <c r="BQ8" s="9"/>
      <c r="BR8" s="9"/>
      <c r="BS8" s="9"/>
      <c r="BT8" s="9"/>
      <c r="BV8" s="9"/>
      <c r="BW8" s="9"/>
      <c r="BX8" s="9"/>
      <c r="BY8" s="9"/>
      <c r="BZ8" s="9"/>
      <c r="CA8" s="9"/>
      <c r="CB8" s="9"/>
      <c r="CD8" s="9"/>
      <c r="CE8" s="9"/>
      <c r="CF8" s="9"/>
      <c r="CG8" s="9"/>
      <c r="CH8" s="9"/>
      <c r="CI8" s="9"/>
      <c r="CJ8" s="9"/>
    </row>
    <row r="9" spans="1:88" x14ac:dyDescent="0.3">
      <c r="B9" s="9"/>
      <c r="C9" s="9"/>
      <c r="D9" s="9"/>
      <c r="E9" s="9"/>
      <c r="F9" s="9"/>
      <c r="G9" s="9"/>
      <c r="H9" s="9"/>
      <c r="J9" s="9"/>
      <c r="K9" s="9"/>
      <c r="L9" s="9"/>
      <c r="M9" s="9"/>
      <c r="N9" s="9"/>
      <c r="O9" s="9"/>
      <c r="P9" s="9"/>
      <c r="R9" s="9"/>
      <c r="S9" s="9"/>
      <c r="T9" s="9"/>
      <c r="U9" s="9"/>
      <c r="V9" s="9"/>
      <c r="W9" s="9"/>
      <c r="X9" s="9"/>
      <c r="Z9" s="9"/>
      <c r="AA9" s="9"/>
      <c r="AB9" s="9"/>
      <c r="AC9" s="9"/>
      <c r="AD9" s="9"/>
      <c r="AE9" s="9"/>
      <c r="AF9" s="9"/>
      <c r="AH9" s="9"/>
      <c r="AI9" s="9"/>
      <c r="AJ9" s="9"/>
      <c r="AK9" s="9"/>
      <c r="AL9" s="9"/>
      <c r="AM9" s="9"/>
      <c r="AN9" s="9"/>
      <c r="AP9" s="9"/>
      <c r="AQ9" s="9"/>
      <c r="AR9" s="9"/>
      <c r="AS9" s="9"/>
      <c r="AT9" s="9"/>
      <c r="AU9" s="9"/>
      <c r="AV9" s="9"/>
      <c r="AX9" s="9"/>
      <c r="AY9" s="9"/>
      <c r="AZ9" s="9"/>
      <c r="BA9" s="9"/>
      <c r="BB9" s="9"/>
      <c r="BC9" s="9"/>
      <c r="BD9" s="9"/>
      <c r="BF9" s="9"/>
      <c r="BG9" s="9"/>
      <c r="BH9" s="9"/>
      <c r="BI9" s="9"/>
      <c r="BJ9" s="9"/>
      <c r="BK9" s="9"/>
      <c r="BL9" s="9"/>
      <c r="BN9" s="9"/>
      <c r="BO9" s="9"/>
      <c r="BP9" s="9"/>
      <c r="BQ9" s="9"/>
      <c r="BR9" s="9"/>
      <c r="BS9" s="9"/>
      <c r="BT9" s="9"/>
      <c r="BV9" s="9"/>
      <c r="BW9" s="9"/>
      <c r="BX9" s="9"/>
      <c r="BY9" s="9"/>
      <c r="BZ9" s="9"/>
      <c r="CA9" s="9"/>
      <c r="CB9" s="9"/>
      <c r="CD9" s="9"/>
      <c r="CE9" s="9"/>
      <c r="CF9" s="9"/>
      <c r="CG9" s="9"/>
      <c r="CH9" s="9"/>
      <c r="CI9" s="9"/>
      <c r="CJ9" s="9"/>
    </row>
    <row r="10" spans="1:88" x14ac:dyDescent="0.3">
      <c r="B10" s="9"/>
      <c r="C10" s="9"/>
      <c r="D10" s="9"/>
      <c r="E10" s="9"/>
      <c r="F10" s="9"/>
      <c r="G10" s="9"/>
      <c r="H10" s="9"/>
      <c r="J10" s="9"/>
      <c r="K10" s="9"/>
      <c r="L10" s="9"/>
      <c r="M10" s="9"/>
      <c r="N10" s="9"/>
      <c r="O10" s="9"/>
      <c r="P10" s="9"/>
      <c r="R10" s="9"/>
      <c r="S10" s="9"/>
      <c r="T10" s="9"/>
      <c r="U10" s="9"/>
      <c r="V10" s="9"/>
      <c r="W10" s="9"/>
      <c r="X10" s="9"/>
      <c r="Z10" s="9"/>
      <c r="AA10" s="9"/>
      <c r="AB10" s="9"/>
      <c r="AC10" s="9"/>
      <c r="AD10" s="9"/>
      <c r="AE10" s="9"/>
      <c r="AF10" s="9"/>
      <c r="AH10" s="9"/>
      <c r="AI10" s="9"/>
      <c r="AJ10" s="9"/>
      <c r="AK10" s="9"/>
      <c r="AL10" s="9"/>
      <c r="AM10" s="9"/>
      <c r="AN10" s="9"/>
      <c r="AP10" s="9"/>
      <c r="AQ10" s="9"/>
      <c r="AR10" s="9"/>
      <c r="AS10" s="9"/>
      <c r="AT10" s="9"/>
      <c r="AU10" s="9"/>
      <c r="AV10" s="9"/>
      <c r="AX10" s="9"/>
      <c r="AY10" s="9"/>
      <c r="AZ10" s="9"/>
      <c r="BA10" s="9"/>
      <c r="BB10" s="9"/>
      <c r="BC10" s="9"/>
      <c r="BD10" s="9"/>
      <c r="BF10" s="9"/>
      <c r="BG10" s="9"/>
      <c r="BH10" s="9"/>
      <c r="BI10" s="9"/>
      <c r="BJ10" s="9"/>
      <c r="BK10" s="9"/>
      <c r="BL10" s="9"/>
      <c r="BN10" s="9"/>
      <c r="BO10" s="9"/>
      <c r="BP10" s="9"/>
      <c r="BQ10" s="9"/>
      <c r="BR10" s="9"/>
      <c r="BS10" s="9"/>
      <c r="BT10" s="9"/>
      <c r="BV10" s="9"/>
      <c r="BW10" s="9"/>
      <c r="BX10" s="9"/>
      <c r="BY10" s="9"/>
      <c r="BZ10" s="9"/>
      <c r="CA10" s="9"/>
      <c r="CB10" s="9"/>
      <c r="CD10" s="9"/>
      <c r="CE10" s="9"/>
      <c r="CF10" s="9"/>
      <c r="CG10" s="9"/>
      <c r="CH10" s="9"/>
      <c r="CI10" s="9"/>
      <c r="CJ10" s="9"/>
    </row>
    <row r="11" spans="1:88" x14ac:dyDescent="0.3">
      <c r="B11" s="9"/>
      <c r="C11" s="9"/>
      <c r="D11" s="9"/>
      <c r="E11" s="9"/>
      <c r="F11" s="9"/>
      <c r="G11" s="9"/>
      <c r="H11" s="9"/>
      <c r="J11" s="9"/>
      <c r="K11" s="9"/>
      <c r="L11" s="9"/>
      <c r="M11" s="9"/>
      <c r="N11" s="9"/>
      <c r="O11" s="9"/>
      <c r="P11" s="9"/>
      <c r="R11" s="9"/>
      <c r="S11" s="9"/>
      <c r="T11" s="9"/>
      <c r="U11" s="9"/>
      <c r="V11" s="9"/>
      <c r="W11" s="9"/>
      <c r="X11" s="9"/>
      <c r="Z11" s="9"/>
      <c r="AA11" s="9"/>
      <c r="AB11" s="9"/>
      <c r="AC11" s="9"/>
      <c r="AD11" s="9"/>
      <c r="AE11" s="9"/>
      <c r="AF11" s="9"/>
      <c r="AH11" s="9"/>
      <c r="AI11" s="9"/>
      <c r="AJ11" s="9"/>
      <c r="AK11" s="9"/>
      <c r="AL11" s="9"/>
      <c r="AM11" s="9"/>
      <c r="AN11" s="9"/>
      <c r="AP11" s="9"/>
      <c r="AQ11" s="9"/>
      <c r="AR11" s="9"/>
      <c r="AS11" s="9"/>
      <c r="AT11" s="9"/>
      <c r="AU11" s="9"/>
      <c r="AV11" s="9"/>
      <c r="AX11" s="9"/>
      <c r="AY11" s="9"/>
      <c r="AZ11" s="9"/>
      <c r="BA11" s="9"/>
      <c r="BB11" s="9"/>
      <c r="BC11" s="9"/>
      <c r="BD11" s="9"/>
      <c r="BF11" s="9"/>
      <c r="BG11" s="9"/>
      <c r="BH11" s="9"/>
      <c r="BI11" s="9"/>
      <c r="BJ11" s="9"/>
      <c r="BK11" s="9"/>
      <c r="BL11" s="9"/>
      <c r="BN11" s="9"/>
      <c r="BO11" s="9"/>
      <c r="BP11" s="9"/>
      <c r="BQ11" s="9"/>
      <c r="BR11" s="9"/>
      <c r="BS11" s="9"/>
      <c r="BT11" s="9"/>
      <c r="BV11" s="9"/>
      <c r="BW11" s="9"/>
      <c r="BX11" s="9"/>
      <c r="BY11" s="9"/>
      <c r="BZ11" s="9"/>
      <c r="CA11" s="9"/>
      <c r="CB11" s="9"/>
      <c r="CD11" s="9"/>
      <c r="CE11" s="9"/>
      <c r="CF11" s="9"/>
      <c r="CG11" s="9"/>
      <c r="CH11" s="9"/>
      <c r="CI11" s="9"/>
      <c r="CJ11" s="9"/>
    </row>
    <row r="12" spans="1:88" x14ac:dyDescent="0.3">
      <c r="B12" s="9"/>
      <c r="C12" s="9"/>
      <c r="D12" s="9"/>
      <c r="E12" s="9"/>
      <c r="F12" s="9"/>
      <c r="G12" s="9"/>
      <c r="H12" s="9"/>
      <c r="J12" s="9"/>
      <c r="K12" s="9"/>
      <c r="L12" s="9"/>
      <c r="M12" s="9"/>
      <c r="N12" s="9"/>
      <c r="O12" s="9"/>
      <c r="P12" s="9"/>
      <c r="R12" s="9"/>
      <c r="S12" s="9"/>
      <c r="T12" s="9"/>
      <c r="U12" s="9"/>
      <c r="V12" s="9"/>
      <c r="W12" s="9"/>
      <c r="X12" s="9"/>
      <c r="Z12" s="9"/>
      <c r="AA12" s="9"/>
      <c r="AB12" s="9"/>
      <c r="AC12" s="9"/>
      <c r="AD12" s="9"/>
      <c r="AE12" s="9"/>
      <c r="AF12" s="9"/>
      <c r="AH12" s="9"/>
      <c r="AI12" s="9"/>
      <c r="AJ12" s="9"/>
      <c r="AK12" s="9"/>
      <c r="AL12" s="9"/>
      <c r="AM12" s="9"/>
      <c r="AN12" s="9"/>
      <c r="AP12" s="9"/>
      <c r="AQ12" s="9"/>
      <c r="AR12" s="9"/>
      <c r="AS12" s="9"/>
      <c r="AT12" s="9"/>
      <c r="AU12" s="9"/>
      <c r="AV12" s="9"/>
      <c r="AX12" s="9"/>
      <c r="AY12" s="9"/>
      <c r="AZ12" s="9"/>
      <c r="BA12" s="9"/>
      <c r="BB12" s="9"/>
      <c r="BC12" s="9"/>
      <c r="BD12" s="9"/>
      <c r="BF12" s="9"/>
      <c r="BG12" s="9"/>
      <c r="BH12" s="9"/>
      <c r="BI12" s="9"/>
      <c r="BJ12" s="9"/>
      <c r="BK12" s="9"/>
      <c r="BL12" s="9"/>
      <c r="BN12" s="9"/>
      <c r="BO12" s="9"/>
      <c r="BP12" s="9"/>
      <c r="BQ12" s="9"/>
      <c r="BR12" s="9"/>
      <c r="BS12" s="9"/>
      <c r="BT12" s="9"/>
      <c r="BV12" s="9"/>
      <c r="BW12" s="9"/>
      <c r="BX12" s="9"/>
      <c r="BY12" s="9"/>
      <c r="BZ12" s="9"/>
      <c r="CA12" s="9"/>
      <c r="CB12" s="9"/>
      <c r="CD12" s="9"/>
      <c r="CE12" s="9"/>
      <c r="CF12" s="9"/>
      <c r="CG12" s="9"/>
      <c r="CH12" s="9"/>
      <c r="CI12" s="9"/>
      <c r="CJ12" s="9"/>
    </row>
    <row r="13" spans="1:88" x14ac:dyDescent="0.3">
      <c r="B13" s="9"/>
      <c r="C13" s="9"/>
      <c r="D13" s="9"/>
      <c r="E13" s="9"/>
      <c r="F13" s="9"/>
      <c r="G13" s="9"/>
      <c r="H13" s="9"/>
      <c r="J13" s="9"/>
      <c r="K13" s="9"/>
      <c r="L13" s="9"/>
      <c r="M13" s="9"/>
      <c r="N13" s="9"/>
      <c r="O13" s="9"/>
      <c r="P13" s="9"/>
      <c r="R13" s="9"/>
      <c r="S13" s="9"/>
      <c r="T13" s="9"/>
      <c r="U13" s="9"/>
      <c r="V13" s="9"/>
      <c r="W13" s="9"/>
      <c r="X13" s="9"/>
      <c r="Z13" s="9"/>
      <c r="AA13" s="9"/>
      <c r="AB13" s="9"/>
      <c r="AC13" s="9"/>
      <c r="AD13" s="9"/>
      <c r="AE13" s="9"/>
      <c r="AF13" s="9"/>
      <c r="AH13" s="9"/>
      <c r="AI13" s="9"/>
      <c r="AJ13" s="9"/>
      <c r="AK13" s="9"/>
      <c r="AL13" s="9"/>
      <c r="AM13" s="9"/>
      <c r="AN13" s="9"/>
      <c r="AP13" s="9"/>
      <c r="AQ13" s="9"/>
      <c r="AR13" s="9"/>
      <c r="AS13" s="9"/>
      <c r="AT13" s="9"/>
      <c r="AU13" s="9"/>
      <c r="AV13" s="9"/>
      <c r="AX13" s="9"/>
      <c r="AY13" s="9"/>
      <c r="AZ13" s="9"/>
      <c r="BA13" s="9"/>
      <c r="BB13" s="9"/>
      <c r="BC13" s="9"/>
      <c r="BD13" s="9"/>
      <c r="BF13" s="9"/>
      <c r="BG13" s="9"/>
      <c r="BH13" s="9"/>
      <c r="BI13" s="9"/>
      <c r="BJ13" s="9"/>
      <c r="BK13" s="9"/>
      <c r="BL13" s="9"/>
      <c r="BN13" s="9"/>
      <c r="BO13" s="9"/>
      <c r="BP13" s="9"/>
      <c r="BQ13" s="9"/>
      <c r="BR13" s="9"/>
      <c r="BS13" s="9"/>
      <c r="BT13" s="9"/>
      <c r="BV13" s="9"/>
      <c r="BW13" s="9"/>
      <c r="BX13" s="9"/>
      <c r="BY13" s="9"/>
      <c r="BZ13" s="9"/>
      <c r="CA13" s="9"/>
      <c r="CB13" s="9"/>
      <c r="CD13" s="9"/>
      <c r="CE13" s="9"/>
      <c r="CF13" s="9"/>
      <c r="CG13" s="9"/>
      <c r="CH13" s="9"/>
      <c r="CI13" s="9"/>
      <c r="CJ13" s="9"/>
    </row>
    <row r="14" spans="1:88" x14ac:dyDescent="0.3">
      <c r="B14" s="5"/>
      <c r="C14" s="5"/>
      <c r="D14" s="5"/>
      <c r="E14" s="5"/>
      <c r="F14" s="5"/>
      <c r="G14" s="5"/>
      <c r="H14" s="5"/>
      <c r="J14" s="5"/>
      <c r="K14" s="5"/>
      <c r="L14" s="5"/>
      <c r="M14" s="5"/>
      <c r="N14" s="5"/>
      <c r="O14" s="5"/>
      <c r="P14" s="5"/>
      <c r="R14" s="5"/>
      <c r="S14" s="5"/>
      <c r="T14" s="5"/>
      <c r="U14" s="5"/>
      <c r="V14" s="5"/>
      <c r="W14" s="5"/>
      <c r="X14" s="5"/>
      <c r="Z14" s="5"/>
      <c r="AA14" s="5"/>
      <c r="AB14" s="5"/>
      <c r="AC14" s="5"/>
      <c r="AD14" s="5"/>
      <c r="AE14" s="5"/>
      <c r="AF14" s="5"/>
      <c r="AH14" s="5"/>
      <c r="AI14" s="5"/>
      <c r="AJ14" s="5"/>
      <c r="AK14" s="5"/>
      <c r="AL14" s="5"/>
      <c r="AM14" s="5"/>
      <c r="AN14" s="5"/>
      <c r="AP14" s="5"/>
      <c r="AQ14" s="5"/>
      <c r="AR14" s="5"/>
      <c r="AS14" s="5"/>
      <c r="AT14" s="5"/>
      <c r="AU14" s="5"/>
      <c r="AV14" s="5"/>
      <c r="AX14" s="5"/>
      <c r="AY14" s="5"/>
      <c r="AZ14" s="5"/>
      <c r="BA14" s="5"/>
      <c r="BB14" s="5"/>
      <c r="BC14" s="5"/>
      <c r="BD14" s="5"/>
      <c r="BF14" s="5"/>
      <c r="BG14" s="5"/>
      <c r="BH14" s="5"/>
      <c r="BI14" s="5"/>
      <c r="BJ14" s="5"/>
      <c r="BK14" s="5"/>
      <c r="BL14" s="5"/>
      <c r="BN14" s="5"/>
      <c r="BO14" s="5"/>
      <c r="BP14" s="5"/>
      <c r="BQ14" s="5"/>
      <c r="BR14" s="5"/>
      <c r="BS14" s="5"/>
      <c r="BT14" s="5"/>
      <c r="BV14" s="5"/>
      <c r="BW14" s="5"/>
      <c r="BX14" s="5"/>
      <c r="BY14" s="5"/>
      <c r="BZ14" s="5"/>
      <c r="CA14" s="5"/>
      <c r="CB14" s="5"/>
      <c r="CD14" s="5"/>
      <c r="CE14" s="5"/>
      <c r="CF14" s="5"/>
      <c r="CG14" s="5"/>
      <c r="CH14" s="5"/>
      <c r="CI14" s="5"/>
      <c r="CJ14" s="5"/>
    </row>
    <row r="15" spans="1:88" x14ac:dyDescent="0.3">
      <c r="A15" s="16" t="s">
        <v>45</v>
      </c>
      <c r="B15" s="9"/>
      <c r="C15" s="9"/>
      <c r="D15" s="9"/>
      <c r="E15" s="9"/>
      <c r="F15" s="9"/>
      <c r="G15" s="9"/>
      <c r="H15" s="9"/>
      <c r="J15" s="9"/>
      <c r="K15" s="9"/>
      <c r="L15" s="9"/>
      <c r="M15" s="9"/>
      <c r="N15" s="9"/>
      <c r="O15" s="9"/>
      <c r="P15" s="9"/>
      <c r="R15" s="9"/>
      <c r="S15" s="9"/>
      <c r="T15" s="9"/>
      <c r="U15" s="9"/>
      <c r="V15" s="9"/>
      <c r="W15" s="9"/>
      <c r="X15" s="9"/>
      <c r="Z15" s="9"/>
      <c r="AA15" s="9"/>
      <c r="AB15" s="9"/>
      <c r="AC15" s="9"/>
      <c r="AD15" s="9"/>
      <c r="AE15" s="9"/>
      <c r="AF15" s="9"/>
      <c r="AH15" s="9"/>
      <c r="AI15" s="9"/>
      <c r="AJ15" s="9"/>
      <c r="AK15" s="9"/>
      <c r="AL15" s="9"/>
      <c r="AM15" s="9"/>
      <c r="AN15" s="9"/>
      <c r="AP15" s="9"/>
      <c r="AQ15" s="9"/>
      <c r="AR15" s="9"/>
      <c r="AS15" s="9"/>
      <c r="AT15" s="9"/>
      <c r="AU15" s="9"/>
      <c r="AV15" s="9"/>
      <c r="AX15" s="9"/>
      <c r="AY15" s="9"/>
      <c r="AZ15" s="9"/>
      <c r="BA15" s="9"/>
      <c r="BB15" s="9"/>
      <c r="BC15" s="9"/>
      <c r="BD15" s="9"/>
      <c r="BF15" s="9"/>
      <c r="BG15" s="9"/>
      <c r="BH15" s="9"/>
      <c r="BI15" s="9"/>
      <c r="BJ15" s="9"/>
      <c r="BK15" s="9"/>
      <c r="BL15" s="9"/>
      <c r="BN15" s="9"/>
      <c r="BO15" s="9"/>
      <c r="BP15" s="9"/>
      <c r="BQ15" s="9"/>
      <c r="BR15" s="9"/>
      <c r="BS15" s="9"/>
      <c r="BT15" s="9"/>
      <c r="BV15" s="9"/>
      <c r="BW15" s="9"/>
      <c r="BX15" s="9"/>
      <c r="BY15" s="9"/>
      <c r="BZ15" s="9"/>
      <c r="CA15" s="9"/>
      <c r="CB15" s="9"/>
      <c r="CD15" s="9"/>
      <c r="CE15" s="9"/>
      <c r="CF15" s="9"/>
      <c r="CG15" s="9"/>
      <c r="CH15" s="9"/>
      <c r="CI15" s="9"/>
      <c r="CJ15" s="9"/>
    </row>
    <row r="16" spans="1:88" x14ac:dyDescent="0.3">
      <c r="B16" s="9"/>
      <c r="C16" s="9"/>
      <c r="D16" s="9"/>
      <c r="E16" s="9"/>
      <c r="F16" s="9"/>
      <c r="G16" s="9"/>
      <c r="H16" s="9"/>
      <c r="J16" s="9"/>
      <c r="K16" s="9"/>
      <c r="L16" s="9"/>
      <c r="M16" s="9"/>
      <c r="N16" s="9"/>
      <c r="O16" s="9"/>
      <c r="P16" s="9"/>
      <c r="R16" s="9"/>
      <c r="S16" s="9"/>
      <c r="T16" s="9"/>
      <c r="U16" s="9"/>
      <c r="V16" s="9"/>
      <c r="W16" s="9"/>
      <c r="X16" s="9"/>
      <c r="Z16" s="9"/>
      <c r="AA16" s="9"/>
      <c r="AB16" s="9"/>
      <c r="AC16" s="9"/>
      <c r="AD16" s="9"/>
      <c r="AE16" s="9"/>
      <c r="AF16" s="9"/>
      <c r="AH16" s="9"/>
      <c r="AI16" s="9"/>
      <c r="AJ16" s="9"/>
      <c r="AK16" s="9"/>
      <c r="AL16" s="9"/>
      <c r="AM16" s="9"/>
      <c r="AN16" s="9"/>
      <c r="AP16" s="9"/>
      <c r="AQ16" s="9"/>
      <c r="AR16" s="9"/>
      <c r="AS16" s="9"/>
      <c r="AT16" s="9"/>
      <c r="AU16" s="9"/>
      <c r="AV16" s="9"/>
      <c r="AX16" s="9"/>
      <c r="AY16" s="9"/>
      <c r="AZ16" s="9"/>
      <c r="BA16" s="9"/>
      <c r="BB16" s="9"/>
      <c r="BC16" s="9"/>
      <c r="BD16" s="9"/>
      <c r="BF16" s="9"/>
      <c r="BG16" s="9"/>
      <c r="BH16" s="9"/>
      <c r="BI16" s="9"/>
      <c r="BJ16" s="9"/>
      <c r="BK16" s="9"/>
      <c r="BL16" s="9"/>
      <c r="BN16" s="9"/>
      <c r="BO16" s="9"/>
      <c r="BP16" s="9"/>
      <c r="BQ16" s="9"/>
      <c r="BR16" s="9"/>
      <c r="BS16" s="9"/>
      <c r="BT16" s="9"/>
      <c r="BV16" s="9"/>
      <c r="BW16" s="9"/>
      <c r="BX16" s="9"/>
      <c r="BY16" s="9"/>
      <c r="BZ16" s="9"/>
      <c r="CA16" s="9"/>
      <c r="CB16" s="9"/>
      <c r="CD16" s="9"/>
      <c r="CE16" s="9"/>
      <c r="CF16" s="9"/>
      <c r="CG16" s="9"/>
      <c r="CH16" s="9"/>
      <c r="CI16" s="9"/>
      <c r="CJ16" s="9"/>
    </row>
    <row r="17" spans="1:88" x14ac:dyDescent="0.3">
      <c r="B17" s="9"/>
      <c r="C17" s="9"/>
      <c r="D17" s="9"/>
      <c r="E17" s="9"/>
      <c r="F17" s="9"/>
      <c r="G17" s="9"/>
      <c r="H17" s="9"/>
      <c r="J17" s="9"/>
      <c r="K17" s="9"/>
      <c r="L17" s="9"/>
      <c r="M17" s="9"/>
      <c r="N17" s="9"/>
      <c r="O17" s="9"/>
      <c r="P17" s="9"/>
      <c r="R17" s="9"/>
      <c r="S17" s="9"/>
      <c r="T17" s="9"/>
      <c r="U17" s="9"/>
      <c r="V17" s="9"/>
      <c r="W17" s="9"/>
      <c r="X17" s="9"/>
      <c r="Z17" s="9"/>
      <c r="AA17" s="9"/>
      <c r="AB17" s="9"/>
      <c r="AC17" s="9"/>
      <c r="AD17" s="9"/>
      <c r="AE17" s="9"/>
      <c r="AF17" s="9"/>
      <c r="AH17" s="9"/>
      <c r="AI17" s="9"/>
      <c r="AJ17" s="9"/>
      <c r="AK17" s="9"/>
      <c r="AL17" s="9"/>
      <c r="AM17" s="9"/>
      <c r="AN17" s="9"/>
      <c r="AP17" s="9"/>
      <c r="AQ17" s="9"/>
      <c r="AR17" s="9"/>
      <c r="AS17" s="9"/>
      <c r="AT17" s="9"/>
      <c r="AU17" s="9"/>
      <c r="AV17" s="9"/>
      <c r="AX17" s="9"/>
      <c r="AY17" s="9"/>
      <c r="AZ17" s="9"/>
      <c r="BA17" s="9"/>
      <c r="BB17" s="9"/>
      <c r="BC17" s="9"/>
      <c r="BD17" s="9"/>
      <c r="BF17" s="9"/>
      <c r="BG17" s="9"/>
      <c r="BH17" s="9"/>
      <c r="BI17" s="9"/>
      <c r="BJ17" s="9"/>
      <c r="BK17" s="9"/>
      <c r="BL17" s="9"/>
      <c r="BN17" s="9"/>
      <c r="BO17" s="9"/>
      <c r="BP17" s="9"/>
      <c r="BQ17" s="9"/>
      <c r="BR17" s="9"/>
      <c r="BS17" s="9"/>
      <c r="BT17" s="9"/>
      <c r="BV17" s="9"/>
      <c r="BW17" s="9"/>
      <c r="BX17" s="9"/>
      <c r="BY17" s="9"/>
      <c r="BZ17" s="9"/>
      <c r="CA17" s="9"/>
      <c r="CB17" s="9"/>
      <c r="CD17" s="9"/>
      <c r="CE17" s="9"/>
      <c r="CF17" s="9"/>
      <c r="CG17" s="9"/>
      <c r="CH17" s="9"/>
      <c r="CI17" s="9"/>
      <c r="CJ17" s="9"/>
    </row>
    <row r="18" spans="1:88" x14ac:dyDescent="0.3">
      <c r="B18" s="9"/>
      <c r="C18" s="9"/>
      <c r="D18" s="9"/>
      <c r="E18" s="9"/>
      <c r="F18" s="9"/>
      <c r="G18" s="9"/>
      <c r="H18" s="9"/>
      <c r="J18" s="9"/>
      <c r="K18" s="9"/>
      <c r="L18" s="9"/>
      <c r="M18" s="9"/>
      <c r="N18" s="9"/>
      <c r="O18" s="9"/>
      <c r="P18" s="9"/>
      <c r="R18" s="9"/>
      <c r="S18" s="9"/>
      <c r="T18" s="9"/>
      <c r="U18" s="9"/>
      <c r="V18" s="9"/>
      <c r="W18" s="9"/>
      <c r="X18" s="9"/>
      <c r="Z18" s="9"/>
      <c r="AA18" s="9"/>
      <c r="AB18" s="9"/>
      <c r="AC18" s="9"/>
      <c r="AD18" s="9"/>
      <c r="AE18" s="9"/>
      <c r="AF18" s="9"/>
      <c r="AH18" s="9"/>
      <c r="AI18" s="9"/>
      <c r="AJ18" s="9"/>
      <c r="AK18" s="9"/>
      <c r="AL18" s="9"/>
      <c r="AM18" s="9"/>
      <c r="AN18" s="9"/>
      <c r="AP18" s="9"/>
      <c r="AQ18" s="9"/>
      <c r="AR18" s="9"/>
      <c r="AS18" s="9"/>
      <c r="AT18" s="9"/>
      <c r="AU18" s="9"/>
      <c r="AV18" s="9"/>
      <c r="AX18" s="9"/>
      <c r="AY18" s="9"/>
      <c r="AZ18" s="9"/>
      <c r="BA18" s="9"/>
      <c r="BB18" s="9"/>
      <c r="BC18" s="9"/>
      <c r="BD18" s="9"/>
      <c r="BF18" s="9"/>
      <c r="BG18" s="9"/>
      <c r="BH18" s="9"/>
      <c r="BI18" s="9"/>
      <c r="BJ18" s="9"/>
      <c r="BK18" s="9"/>
      <c r="BL18" s="9"/>
      <c r="BN18" s="9"/>
      <c r="BO18" s="9"/>
      <c r="BP18" s="9"/>
      <c r="BQ18" s="9"/>
      <c r="BR18" s="9"/>
      <c r="BS18" s="9"/>
      <c r="BT18" s="9"/>
      <c r="BV18" s="9"/>
      <c r="BW18" s="9"/>
      <c r="BX18" s="9"/>
      <c r="BY18" s="9"/>
      <c r="BZ18" s="9"/>
      <c r="CA18" s="9"/>
      <c r="CB18" s="9"/>
      <c r="CD18" s="9"/>
      <c r="CE18" s="9"/>
      <c r="CF18" s="9"/>
      <c r="CG18" s="9"/>
      <c r="CH18" s="9"/>
      <c r="CI18" s="9"/>
      <c r="CJ18" s="9"/>
    </row>
    <row r="19" spans="1:88" x14ac:dyDescent="0.3">
      <c r="B19" s="9"/>
      <c r="C19" s="9"/>
      <c r="D19" s="9"/>
      <c r="E19" s="9"/>
      <c r="F19" s="9"/>
      <c r="G19" s="9"/>
      <c r="H19" s="9"/>
      <c r="J19" s="9"/>
      <c r="K19" s="9"/>
      <c r="L19" s="9"/>
      <c r="M19" s="9"/>
      <c r="N19" s="9"/>
      <c r="O19" s="9"/>
      <c r="P19" s="9"/>
      <c r="R19" s="9"/>
      <c r="S19" s="9"/>
      <c r="T19" s="9"/>
      <c r="U19" s="9"/>
      <c r="V19" s="9"/>
      <c r="W19" s="9"/>
      <c r="X19" s="9"/>
      <c r="Z19" s="9"/>
      <c r="AA19" s="9"/>
      <c r="AB19" s="9"/>
      <c r="AC19" s="9"/>
      <c r="AD19" s="9"/>
      <c r="AE19" s="9"/>
      <c r="AF19" s="9"/>
      <c r="AH19" s="9"/>
      <c r="AI19" s="9"/>
      <c r="AJ19" s="9"/>
      <c r="AK19" s="9"/>
      <c r="AL19" s="9"/>
      <c r="AM19" s="9"/>
      <c r="AN19" s="9"/>
      <c r="AP19" s="9"/>
      <c r="AQ19" s="9"/>
      <c r="AR19" s="9"/>
      <c r="AS19" s="9"/>
      <c r="AT19" s="9"/>
      <c r="AU19" s="9"/>
      <c r="AV19" s="9"/>
      <c r="AX19" s="9"/>
      <c r="AY19" s="9"/>
      <c r="AZ19" s="9"/>
      <c r="BA19" s="9"/>
      <c r="BB19" s="9"/>
      <c r="BC19" s="9"/>
      <c r="BD19" s="9"/>
      <c r="BF19" s="9"/>
      <c r="BG19" s="9"/>
      <c r="BH19" s="9"/>
      <c r="BI19" s="9"/>
      <c r="BJ19" s="9"/>
      <c r="BK19" s="9"/>
      <c r="BL19" s="9"/>
      <c r="BN19" s="9"/>
      <c r="BO19" s="9"/>
      <c r="BP19" s="9"/>
      <c r="BQ19" s="9"/>
      <c r="BR19" s="9"/>
      <c r="BS19" s="9"/>
      <c r="BT19" s="9"/>
      <c r="BV19" s="9"/>
      <c r="BW19" s="9"/>
      <c r="BX19" s="9"/>
      <c r="BY19" s="9"/>
      <c r="BZ19" s="9"/>
      <c r="CA19" s="9"/>
      <c r="CB19" s="9"/>
      <c r="CD19" s="9"/>
      <c r="CE19" s="9"/>
      <c r="CF19" s="9"/>
      <c r="CG19" s="9"/>
      <c r="CH19" s="9"/>
      <c r="CI19" s="9"/>
      <c r="CJ19" s="9"/>
    </row>
    <row r="20" spans="1:88" x14ac:dyDescent="0.3">
      <c r="B20" s="9"/>
      <c r="C20" s="9"/>
      <c r="D20" s="9"/>
      <c r="E20" s="9"/>
      <c r="F20" s="9"/>
      <c r="G20" s="9"/>
      <c r="H20" s="9"/>
      <c r="J20" s="9"/>
      <c r="K20" s="9"/>
      <c r="L20" s="9"/>
      <c r="M20" s="9"/>
      <c r="N20" s="9"/>
      <c r="O20" s="9"/>
      <c r="P20" s="9"/>
      <c r="R20" s="9"/>
      <c r="S20" s="9"/>
      <c r="T20" s="9"/>
      <c r="U20" s="9"/>
      <c r="V20" s="9"/>
      <c r="W20" s="9"/>
      <c r="X20" s="9"/>
      <c r="Z20" s="9"/>
      <c r="AA20" s="9"/>
      <c r="AB20" s="9"/>
      <c r="AC20" s="9"/>
      <c r="AD20" s="9"/>
      <c r="AE20" s="9"/>
      <c r="AF20" s="9"/>
      <c r="AH20" s="9"/>
      <c r="AI20" s="9"/>
      <c r="AJ20" s="9"/>
      <c r="AK20" s="9"/>
      <c r="AL20" s="9"/>
      <c r="AM20" s="9"/>
      <c r="AN20" s="9"/>
      <c r="AP20" s="9"/>
      <c r="AQ20" s="9"/>
      <c r="AR20" s="9"/>
      <c r="AS20" s="9"/>
      <c r="AT20" s="9"/>
      <c r="AU20" s="9"/>
      <c r="AV20" s="9"/>
      <c r="AX20" s="9"/>
      <c r="AY20" s="9"/>
      <c r="AZ20" s="9"/>
      <c r="BA20" s="9"/>
      <c r="BB20" s="9"/>
      <c r="BC20" s="9"/>
      <c r="BD20" s="9"/>
      <c r="BF20" s="9"/>
      <c r="BG20" s="9"/>
      <c r="BH20" s="9"/>
      <c r="BI20" s="9"/>
      <c r="BJ20" s="9"/>
      <c r="BK20" s="9"/>
      <c r="BL20" s="9"/>
      <c r="BN20" s="9"/>
      <c r="BO20" s="9"/>
      <c r="BP20" s="9"/>
      <c r="BQ20" s="9"/>
      <c r="BR20" s="9"/>
      <c r="BS20" s="9"/>
      <c r="BT20" s="9"/>
      <c r="BV20" s="9"/>
      <c r="BW20" s="9"/>
      <c r="BX20" s="9"/>
      <c r="BY20" s="9"/>
      <c r="BZ20" s="9"/>
      <c r="CA20" s="9"/>
      <c r="CB20" s="9"/>
      <c r="CD20" s="9"/>
      <c r="CE20" s="9"/>
      <c r="CF20" s="9"/>
      <c r="CG20" s="9"/>
      <c r="CH20" s="9"/>
      <c r="CI20" s="9"/>
      <c r="CJ20" s="9"/>
    </row>
    <row r="21" spans="1:88" x14ac:dyDescent="0.3">
      <c r="B21" s="9"/>
      <c r="C21" s="9"/>
      <c r="D21" s="9"/>
      <c r="E21" s="9"/>
      <c r="F21" s="9"/>
      <c r="G21" s="9"/>
      <c r="H21" s="9"/>
      <c r="J21" s="9"/>
      <c r="K21" s="9"/>
      <c r="L21" s="9"/>
      <c r="M21" s="9"/>
      <c r="N21" s="9"/>
      <c r="O21" s="9"/>
      <c r="P21" s="9"/>
      <c r="R21" s="9"/>
      <c r="S21" s="9"/>
      <c r="T21" s="9"/>
      <c r="U21" s="9"/>
      <c r="V21" s="9"/>
      <c r="W21" s="9"/>
      <c r="X21" s="9"/>
      <c r="Z21" s="9"/>
      <c r="AA21" s="9"/>
      <c r="AB21" s="9"/>
      <c r="AC21" s="9"/>
      <c r="AD21" s="9"/>
      <c r="AE21" s="9"/>
      <c r="AF21" s="9"/>
      <c r="AH21" s="9"/>
      <c r="AI21" s="9"/>
      <c r="AJ21" s="9"/>
      <c r="AK21" s="9"/>
      <c r="AL21" s="9"/>
      <c r="AM21" s="9"/>
      <c r="AN21" s="9"/>
      <c r="AP21" s="9"/>
      <c r="AQ21" s="9"/>
      <c r="AR21" s="9"/>
      <c r="AS21" s="9"/>
      <c r="AT21" s="9"/>
      <c r="AU21" s="9"/>
      <c r="AV21" s="9"/>
      <c r="AX21" s="9"/>
      <c r="AY21" s="9"/>
      <c r="AZ21" s="9"/>
      <c r="BA21" s="9"/>
      <c r="BB21" s="9"/>
      <c r="BC21" s="9"/>
      <c r="BD21" s="9"/>
      <c r="BF21" s="9"/>
      <c r="BG21" s="9"/>
      <c r="BH21" s="9"/>
      <c r="BI21" s="9"/>
      <c r="BJ21" s="9"/>
      <c r="BK21" s="9"/>
      <c r="BL21" s="9"/>
      <c r="BN21" s="9"/>
      <c r="BO21" s="9"/>
      <c r="BP21" s="9"/>
      <c r="BQ21" s="9"/>
      <c r="BR21" s="9"/>
      <c r="BS21" s="9"/>
      <c r="BT21" s="9"/>
      <c r="BV21" s="9"/>
      <c r="BW21" s="9"/>
      <c r="BX21" s="9"/>
      <c r="BY21" s="9"/>
      <c r="BZ21" s="9"/>
      <c r="CA21" s="9"/>
      <c r="CB21" s="9"/>
      <c r="CD21" s="9"/>
      <c r="CE21" s="9"/>
      <c r="CF21" s="9"/>
      <c r="CG21" s="9"/>
      <c r="CH21" s="9"/>
      <c r="CI21" s="9"/>
      <c r="CJ21" s="9"/>
    </row>
    <row r="22" spans="1:88" x14ac:dyDescent="0.3">
      <c r="B22" s="9"/>
      <c r="C22" s="9"/>
      <c r="D22" s="9"/>
      <c r="E22" s="9"/>
      <c r="F22" s="9"/>
      <c r="G22" s="9"/>
      <c r="H22" s="9"/>
      <c r="J22" s="9"/>
      <c r="K22" s="9"/>
      <c r="L22" s="9"/>
      <c r="M22" s="9"/>
      <c r="N22" s="9"/>
      <c r="O22" s="9"/>
      <c r="P22" s="9"/>
      <c r="R22" s="9"/>
      <c r="S22" s="9"/>
      <c r="T22" s="9"/>
      <c r="U22" s="9"/>
      <c r="V22" s="9"/>
      <c r="W22" s="9"/>
      <c r="X22" s="9"/>
      <c r="Z22" s="9"/>
      <c r="AA22" s="9"/>
      <c r="AB22" s="9"/>
      <c r="AC22" s="9"/>
      <c r="AD22" s="9"/>
      <c r="AE22" s="9"/>
      <c r="AF22" s="9"/>
      <c r="AH22" s="9"/>
      <c r="AI22" s="9"/>
      <c r="AJ22" s="9"/>
      <c r="AK22" s="9"/>
      <c r="AL22" s="9"/>
      <c r="AM22" s="9"/>
      <c r="AN22" s="9"/>
      <c r="AP22" s="9"/>
      <c r="AQ22" s="9"/>
      <c r="AR22" s="9"/>
      <c r="AS22" s="9"/>
      <c r="AT22" s="9"/>
      <c r="AU22" s="9"/>
      <c r="AV22" s="9"/>
      <c r="AX22" s="9"/>
      <c r="AY22" s="9"/>
      <c r="AZ22" s="9"/>
      <c r="BA22" s="9"/>
      <c r="BB22" s="9"/>
      <c r="BC22" s="9"/>
      <c r="BD22" s="9"/>
      <c r="BF22" s="9"/>
      <c r="BG22" s="9"/>
      <c r="BH22" s="9"/>
      <c r="BI22" s="9"/>
      <c r="BJ22" s="9"/>
      <c r="BK22" s="9"/>
      <c r="BL22" s="9"/>
      <c r="BN22" s="9"/>
      <c r="BO22" s="9"/>
      <c r="BP22" s="9"/>
      <c r="BQ22" s="9"/>
      <c r="BR22" s="9"/>
      <c r="BS22" s="9"/>
      <c r="BT22" s="9"/>
      <c r="BV22" s="9"/>
      <c r="BW22" s="9"/>
      <c r="BX22" s="9"/>
      <c r="BY22" s="9"/>
      <c r="BZ22" s="9"/>
      <c r="CA22" s="9"/>
      <c r="CB22" s="9"/>
      <c r="CD22" s="9"/>
      <c r="CE22" s="9"/>
      <c r="CF22" s="9"/>
      <c r="CG22" s="9"/>
      <c r="CH22" s="9"/>
      <c r="CI22" s="9"/>
      <c r="CJ22" s="9"/>
    </row>
    <row r="23" spans="1:88" x14ac:dyDescent="0.3">
      <c r="B23" s="9"/>
      <c r="C23" s="9"/>
      <c r="D23" s="9"/>
      <c r="E23" s="9"/>
      <c r="F23" s="9"/>
      <c r="G23" s="9"/>
      <c r="H23" s="9"/>
      <c r="J23" s="9"/>
      <c r="K23" s="9"/>
      <c r="L23" s="9"/>
      <c r="M23" s="9"/>
      <c r="N23" s="9"/>
      <c r="O23" s="9"/>
      <c r="P23" s="9"/>
      <c r="R23" s="9"/>
      <c r="S23" s="9"/>
      <c r="T23" s="9"/>
      <c r="U23" s="9"/>
      <c r="V23" s="9"/>
      <c r="W23" s="9"/>
      <c r="X23" s="9"/>
      <c r="Z23" s="9"/>
      <c r="AA23" s="9"/>
      <c r="AB23" s="9"/>
      <c r="AC23" s="9"/>
      <c r="AD23" s="9"/>
      <c r="AE23" s="9"/>
      <c r="AF23" s="9"/>
      <c r="AH23" s="9"/>
      <c r="AI23" s="9"/>
      <c r="AJ23" s="9"/>
      <c r="AK23" s="9"/>
      <c r="AL23" s="9"/>
      <c r="AM23" s="9"/>
      <c r="AN23" s="9"/>
      <c r="AP23" s="9"/>
      <c r="AQ23" s="9"/>
      <c r="AR23" s="9"/>
      <c r="AS23" s="9"/>
      <c r="AT23" s="9"/>
      <c r="AU23" s="9"/>
      <c r="AV23" s="9"/>
      <c r="AX23" s="9"/>
      <c r="AY23" s="9"/>
      <c r="AZ23" s="9"/>
      <c r="BA23" s="9"/>
      <c r="BB23" s="9"/>
      <c r="BC23" s="9"/>
      <c r="BD23" s="9"/>
      <c r="BF23" s="9"/>
      <c r="BG23" s="9"/>
      <c r="BH23" s="9"/>
      <c r="BI23" s="9"/>
      <c r="BJ23" s="9"/>
      <c r="BK23" s="9"/>
      <c r="BL23" s="9"/>
      <c r="BN23" s="9"/>
      <c r="BO23" s="9"/>
      <c r="BP23" s="9"/>
      <c r="BQ23" s="9"/>
      <c r="BR23" s="9"/>
      <c r="BS23" s="9"/>
      <c r="BT23" s="9"/>
      <c r="BV23" s="9"/>
      <c r="BW23" s="9"/>
      <c r="BX23" s="9"/>
      <c r="BY23" s="9"/>
      <c r="BZ23" s="9"/>
      <c r="CA23" s="9"/>
      <c r="CB23" s="9"/>
      <c r="CD23" s="9"/>
      <c r="CE23" s="9"/>
      <c r="CF23" s="9"/>
      <c r="CG23" s="9"/>
      <c r="CH23" s="9"/>
      <c r="CI23" s="9"/>
      <c r="CJ23" s="9"/>
    </row>
    <row r="24" spans="1:88" x14ac:dyDescent="0.3">
      <c r="B24" s="9"/>
      <c r="C24" s="9"/>
      <c r="D24" s="9"/>
      <c r="E24" s="9"/>
      <c r="F24" s="9"/>
      <c r="G24" s="9"/>
      <c r="H24" s="9"/>
      <c r="J24" s="9"/>
      <c r="K24" s="9"/>
      <c r="L24" s="9"/>
      <c r="M24" s="9"/>
      <c r="N24" s="9"/>
      <c r="O24" s="9"/>
      <c r="P24" s="9"/>
      <c r="R24" s="9"/>
      <c r="S24" s="9"/>
      <c r="T24" s="9"/>
      <c r="U24" s="9"/>
      <c r="V24" s="9"/>
      <c r="W24" s="9"/>
      <c r="X24" s="9"/>
      <c r="Z24" s="9"/>
      <c r="AA24" s="9"/>
      <c r="AB24" s="9"/>
      <c r="AC24" s="9"/>
      <c r="AD24" s="9"/>
      <c r="AE24" s="9"/>
      <c r="AF24" s="9"/>
      <c r="AH24" s="9"/>
      <c r="AI24" s="9"/>
      <c r="AJ24" s="9"/>
      <c r="AK24" s="9"/>
      <c r="AL24" s="9"/>
      <c r="AM24" s="9"/>
      <c r="AN24" s="9"/>
      <c r="AP24" s="9"/>
      <c r="AQ24" s="9"/>
      <c r="AR24" s="9"/>
      <c r="AS24" s="9"/>
      <c r="AT24" s="9"/>
      <c r="AU24" s="9"/>
      <c r="AV24" s="9"/>
      <c r="AX24" s="9"/>
      <c r="AY24" s="9"/>
      <c r="AZ24" s="9"/>
      <c r="BA24" s="9"/>
      <c r="BB24" s="9"/>
      <c r="BC24" s="9"/>
      <c r="BD24" s="9"/>
      <c r="BF24" s="9"/>
      <c r="BG24" s="9"/>
      <c r="BH24" s="9"/>
      <c r="BI24" s="9"/>
      <c r="BJ24" s="9"/>
      <c r="BK24" s="9"/>
      <c r="BL24" s="9"/>
      <c r="BN24" s="9"/>
      <c r="BO24" s="9"/>
      <c r="BP24" s="9"/>
      <c r="BQ24" s="9"/>
      <c r="BR24" s="9"/>
      <c r="BS24" s="9"/>
      <c r="BT24" s="9"/>
      <c r="BV24" s="9"/>
      <c r="BW24" s="9"/>
      <c r="BX24" s="9"/>
      <c r="BY24" s="9"/>
      <c r="BZ24" s="9"/>
      <c r="CA24" s="9"/>
      <c r="CB24" s="9"/>
      <c r="CD24" s="9"/>
      <c r="CE24" s="9"/>
      <c r="CF24" s="9"/>
      <c r="CG24" s="9"/>
      <c r="CH24" s="9"/>
      <c r="CI24" s="9"/>
      <c r="CJ24" s="9"/>
    </row>
    <row r="25" spans="1:88" x14ac:dyDescent="0.3">
      <c r="B25" s="9"/>
      <c r="C25" s="9"/>
      <c r="D25" s="9"/>
      <c r="E25" s="9"/>
      <c r="F25" s="9"/>
      <c r="G25" s="9"/>
      <c r="H25" s="9"/>
      <c r="J25" s="9"/>
      <c r="K25" s="9"/>
      <c r="L25" s="9"/>
      <c r="M25" s="9"/>
      <c r="N25" s="9"/>
      <c r="O25" s="9"/>
      <c r="P25" s="9"/>
      <c r="R25" s="9"/>
      <c r="S25" s="9"/>
      <c r="T25" s="9"/>
      <c r="U25" s="9"/>
      <c r="V25" s="9"/>
      <c r="W25" s="9"/>
      <c r="X25" s="9"/>
      <c r="Z25" s="9"/>
      <c r="AA25" s="9"/>
      <c r="AB25" s="9"/>
      <c r="AC25" s="9"/>
      <c r="AD25" s="9"/>
      <c r="AE25" s="9"/>
      <c r="AF25" s="9"/>
      <c r="AH25" s="9"/>
      <c r="AI25" s="9"/>
      <c r="AJ25" s="9"/>
      <c r="AK25" s="9"/>
      <c r="AL25" s="9"/>
      <c r="AM25" s="9"/>
      <c r="AN25" s="9"/>
      <c r="AP25" s="9"/>
      <c r="AQ25" s="9"/>
      <c r="AR25" s="9"/>
      <c r="AS25" s="9"/>
      <c r="AT25" s="9"/>
      <c r="AU25" s="9"/>
      <c r="AV25" s="9"/>
      <c r="AX25" s="9"/>
      <c r="AY25" s="9"/>
      <c r="AZ25" s="9"/>
      <c r="BA25" s="9"/>
      <c r="BB25" s="9"/>
      <c r="BC25" s="9"/>
      <c r="BD25" s="9"/>
      <c r="BF25" s="9"/>
      <c r="BG25" s="9"/>
      <c r="BH25" s="9"/>
      <c r="BI25" s="9"/>
      <c r="BJ25" s="9"/>
      <c r="BK25" s="9"/>
      <c r="BL25" s="9"/>
      <c r="BN25" s="9"/>
      <c r="BO25" s="9"/>
      <c r="BP25" s="9"/>
      <c r="BQ25" s="9"/>
      <c r="BR25" s="9"/>
      <c r="BS25" s="9"/>
      <c r="BT25" s="9"/>
      <c r="BV25" s="9"/>
      <c r="BW25" s="9"/>
      <c r="BX25" s="9"/>
      <c r="BY25" s="9"/>
      <c r="BZ25" s="9"/>
      <c r="CA25" s="9"/>
      <c r="CB25" s="9"/>
      <c r="CD25" s="9"/>
      <c r="CE25" s="9"/>
      <c r="CF25" s="9"/>
      <c r="CG25" s="9"/>
      <c r="CH25" s="9"/>
      <c r="CI25" s="9"/>
      <c r="CJ25" s="9"/>
    </row>
    <row r="26" spans="1:88" x14ac:dyDescent="0.3">
      <c r="B26" s="5"/>
      <c r="C26" s="5"/>
      <c r="D26" s="5"/>
      <c r="E26" s="5"/>
      <c r="F26" s="5"/>
      <c r="G26" s="5"/>
      <c r="H26" s="5"/>
      <c r="J26" s="5"/>
      <c r="K26" s="5"/>
      <c r="L26" s="5"/>
      <c r="M26" s="5"/>
      <c r="N26" s="5"/>
      <c r="O26" s="5"/>
      <c r="P26" s="5"/>
      <c r="R26" s="5"/>
      <c r="S26" s="5"/>
      <c r="T26" s="5"/>
      <c r="U26" s="5"/>
      <c r="V26" s="5"/>
      <c r="W26" s="5"/>
      <c r="X26" s="5"/>
      <c r="Z26" s="5"/>
      <c r="AA26" s="5"/>
      <c r="AB26" s="5"/>
      <c r="AC26" s="5"/>
      <c r="AD26" s="5"/>
      <c r="AE26" s="5"/>
      <c r="AF26" s="5"/>
      <c r="AH26" s="5"/>
      <c r="AI26" s="5"/>
      <c r="AJ26" s="5"/>
      <c r="AK26" s="5"/>
      <c r="AL26" s="5"/>
      <c r="AM26" s="5"/>
      <c r="AN26" s="5"/>
      <c r="AP26" s="5"/>
      <c r="AQ26" s="5"/>
      <c r="AR26" s="5"/>
      <c r="AS26" s="5"/>
      <c r="AT26" s="5"/>
      <c r="AU26" s="5"/>
      <c r="AV26" s="5"/>
      <c r="AX26" s="5"/>
      <c r="AY26" s="5"/>
      <c r="AZ26" s="5"/>
      <c r="BA26" s="5"/>
      <c r="BB26" s="5"/>
      <c r="BC26" s="5"/>
      <c r="BD26" s="5"/>
      <c r="BF26" s="5"/>
      <c r="BG26" s="5"/>
      <c r="BH26" s="5"/>
      <c r="BI26" s="5"/>
      <c r="BJ26" s="5"/>
      <c r="BK26" s="5"/>
      <c r="BL26" s="5"/>
      <c r="BN26" s="5"/>
      <c r="BO26" s="5"/>
      <c r="BP26" s="5"/>
      <c r="BQ26" s="5"/>
      <c r="BR26" s="5"/>
      <c r="BS26" s="5"/>
      <c r="BT26" s="5"/>
      <c r="BV26" s="5"/>
      <c r="BW26" s="5"/>
      <c r="BX26" s="5"/>
      <c r="BY26" s="5"/>
      <c r="BZ26" s="5"/>
      <c r="CA26" s="5"/>
      <c r="CB26" s="5"/>
      <c r="CD26" s="5"/>
      <c r="CE26" s="5"/>
      <c r="CF26" s="5"/>
      <c r="CG26" s="5"/>
      <c r="CH26" s="5"/>
      <c r="CI26" s="5"/>
      <c r="CJ26" s="5"/>
    </row>
    <row r="27" spans="1:88" x14ac:dyDescent="0.3">
      <c r="A27" s="16" t="s">
        <v>46</v>
      </c>
      <c r="B27" s="9"/>
      <c r="C27" s="9"/>
      <c r="D27" s="9"/>
      <c r="E27" s="9"/>
      <c r="F27" s="9"/>
      <c r="G27" s="9"/>
      <c r="H27" s="9"/>
      <c r="J27" s="9"/>
      <c r="K27" s="9"/>
      <c r="L27" s="9"/>
      <c r="M27" s="9"/>
      <c r="N27" s="9"/>
      <c r="O27" s="9"/>
      <c r="P27" s="9"/>
      <c r="R27" s="9"/>
      <c r="S27" s="9"/>
      <c r="T27" s="9"/>
      <c r="U27" s="9"/>
      <c r="V27" s="9"/>
      <c r="W27" s="9"/>
      <c r="X27" s="9"/>
      <c r="Z27" s="9"/>
      <c r="AA27" s="9"/>
      <c r="AB27" s="9"/>
      <c r="AC27" s="9"/>
      <c r="AD27" s="9"/>
      <c r="AE27" s="9"/>
      <c r="AF27" s="9"/>
      <c r="AH27" s="9"/>
      <c r="AI27" s="9"/>
      <c r="AJ27" s="9"/>
      <c r="AK27" s="9"/>
      <c r="AL27" s="9"/>
      <c r="AM27" s="9"/>
      <c r="AN27" s="9"/>
      <c r="AP27" s="9"/>
      <c r="AQ27" s="9"/>
      <c r="AR27" s="9"/>
      <c r="AS27" s="9"/>
      <c r="AT27" s="9"/>
      <c r="AU27" s="9"/>
      <c r="AV27" s="9"/>
      <c r="AX27" s="9"/>
      <c r="AY27" s="9"/>
      <c r="AZ27" s="9"/>
      <c r="BA27" s="9"/>
      <c r="BB27" s="9"/>
      <c r="BC27" s="9"/>
      <c r="BD27" s="9"/>
      <c r="BF27" s="9"/>
      <c r="BG27" s="9"/>
      <c r="BH27" s="9"/>
      <c r="BI27" s="9"/>
      <c r="BJ27" s="9"/>
      <c r="BK27" s="9"/>
      <c r="BL27" s="9"/>
      <c r="BN27" s="9"/>
      <c r="BO27" s="9"/>
      <c r="BP27" s="9"/>
      <c r="BQ27" s="9"/>
      <c r="BR27" s="9"/>
      <c r="BS27" s="9"/>
      <c r="BT27" s="9"/>
      <c r="BV27" s="9"/>
      <c r="BW27" s="9"/>
      <c r="BX27" s="9"/>
      <c r="BY27" s="9"/>
      <c r="BZ27" s="9"/>
      <c r="CA27" s="9"/>
      <c r="CB27" s="9"/>
      <c r="CD27" s="9"/>
      <c r="CE27" s="9"/>
      <c r="CF27" s="9"/>
      <c r="CG27" s="9"/>
      <c r="CH27" s="9"/>
      <c r="CI27" s="9"/>
      <c r="CJ27" s="9"/>
    </row>
    <row r="28" spans="1:88" x14ac:dyDescent="0.3">
      <c r="B28" s="9"/>
      <c r="C28" s="9"/>
      <c r="D28" s="9"/>
      <c r="E28" s="9"/>
      <c r="F28" s="9"/>
      <c r="G28" s="9"/>
      <c r="H28" s="9"/>
      <c r="J28" s="9"/>
      <c r="K28" s="9"/>
      <c r="L28" s="9"/>
      <c r="M28" s="9"/>
      <c r="N28" s="9"/>
      <c r="O28" s="9"/>
      <c r="P28" s="9"/>
      <c r="R28" s="9"/>
      <c r="S28" s="9"/>
      <c r="T28" s="9"/>
      <c r="U28" s="9"/>
      <c r="V28" s="9"/>
      <c r="W28" s="9"/>
      <c r="X28" s="9"/>
      <c r="Z28" s="9"/>
      <c r="AA28" s="9"/>
      <c r="AB28" s="9"/>
      <c r="AC28" s="9"/>
      <c r="AD28" s="9"/>
      <c r="AE28" s="9"/>
      <c r="AF28" s="9"/>
      <c r="AH28" s="9"/>
      <c r="AI28" s="9"/>
      <c r="AJ28" s="9"/>
      <c r="AK28" s="9"/>
      <c r="AL28" s="9"/>
      <c r="AM28" s="9"/>
      <c r="AN28" s="9"/>
      <c r="AP28" s="9"/>
      <c r="AQ28" s="9"/>
      <c r="AR28" s="9"/>
      <c r="AS28" s="9"/>
      <c r="AT28" s="9"/>
      <c r="AU28" s="9"/>
      <c r="AV28" s="9"/>
      <c r="AX28" s="9"/>
      <c r="AY28" s="9"/>
      <c r="AZ28" s="9"/>
      <c r="BA28" s="9"/>
      <c r="BB28" s="9"/>
      <c r="BC28" s="9"/>
      <c r="BD28" s="9"/>
      <c r="BF28" s="9"/>
      <c r="BG28" s="9"/>
      <c r="BH28" s="9"/>
      <c r="BI28" s="9"/>
      <c r="BJ28" s="9"/>
      <c r="BK28" s="9"/>
      <c r="BL28" s="9"/>
      <c r="BN28" s="9"/>
      <c r="BO28" s="9"/>
      <c r="BP28" s="9"/>
      <c r="BQ28" s="9"/>
      <c r="BR28" s="9"/>
      <c r="BS28" s="9"/>
      <c r="BT28" s="9"/>
      <c r="BV28" s="9"/>
      <c r="BW28" s="9"/>
      <c r="BX28" s="9"/>
      <c r="BY28" s="9"/>
      <c r="BZ28" s="9"/>
      <c r="CA28" s="9"/>
      <c r="CB28" s="9"/>
      <c r="CD28" s="9"/>
      <c r="CE28" s="9"/>
      <c r="CF28" s="9"/>
      <c r="CG28" s="9"/>
      <c r="CH28" s="9"/>
      <c r="CI28" s="9"/>
      <c r="CJ28" s="9"/>
    </row>
    <row r="29" spans="1:88" x14ac:dyDescent="0.3">
      <c r="B29" s="9"/>
      <c r="C29" s="9"/>
      <c r="D29" s="9"/>
      <c r="E29" s="9"/>
      <c r="F29" s="9"/>
      <c r="G29" s="9"/>
      <c r="H29" s="9"/>
      <c r="J29" s="9"/>
      <c r="K29" s="9"/>
      <c r="L29" s="9"/>
      <c r="M29" s="9"/>
      <c r="N29" s="9"/>
      <c r="O29" s="9"/>
      <c r="P29" s="9"/>
      <c r="R29" s="9"/>
      <c r="S29" s="9"/>
      <c r="T29" s="9"/>
      <c r="U29" s="9"/>
      <c r="V29" s="9"/>
      <c r="W29" s="9"/>
      <c r="X29" s="9"/>
      <c r="Z29" s="9"/>
      <c r="AA29" s="9"/>
      <c r="AB29" s="9"/>
      <c r="AC29" s="9"/>
      <c r="AD29" s="9"/>
      <c r="AE29" s="9"/>
      <c r="AF29" s="9"/>
      <c r="AH29" s="9"/>
      <c r="AI29" s="9"/>
      <c r="AJ29" s="9"/>
      <c r="AK29" s="9"/>
      <c r="AL29" s="9"/>
      <c r="AM29" s="9"/>
      <c r="AN29" s="9"/>
      <c r="AP29" s="9"/>
      <c r="AQ29" s="9"/>
      <c r="AR29" s="9"/>
      <c r="AS29" s="9"/>
      <c r="AT29" s="9"/>
      <c r="AU29" s="9"/>
      <c r="AV29" s="9"/>
      <c r="AX29" s="9"/>
      <c r="AY29" s="9"/>
      <c r="AZ29" s="9"/>
      <c r="BA29" s="9"/>
      <c r="BB29" s="9"/>
      <c r="BC29" s="9"/>
      <c r="BD29" s="9"/>
      <c r="BF29" s="9"/>
      <c r="BG29" s="9"/>
      <c r="BH29" s="9"/>
      <c r="BI29" s="9"/>
      <c r="BJ29" s="9"/>
      <c r="BK29" s="9"/>
      <c r="BL29" s="9"/>
      <c r="BN29" s="9"/>
      <c r="BO29" s="9"/>
      <c r="BP29" s="9"/>
      <c r="BQ29" s="9"/>
      <c r="BR29" s="9"/>
      <c r="BS29" s="9"/>
      <c r="BT29" s="9"/>
      <c r="BV29" s="9"/>
      <c r="BW29" s="9"/>
      <c r="BX29" s="9"/>
      <c r="BY29" s="9"/>
      <c r="BZ29" s="9"/>
      <c r="CA29" s="9"/>
      <c r="CB29" s="9"/>
      <c r="CD29" s="9"/>
      <c r="CE29" s="9"/>
      <c r="CF29" s="9"/>
      <c r="CG29" s="9"/>
      <c r="CH29" s="9"/>
      <c r="CI29" s="9"/>
      <c r="CJ29" s="9"/>
    </row>
    <row r="30" spans="1:88" x14ac:dyDescent="0.3">
      <c r="B30" s="9"/>
      <c r="C30" s="9"/>
      <c r="D30" s="9"/>
      <c r="E30" s="9"/>
      <c r="F30" s="9"/>
      <c r="G30" s="9"/>
      <c r="H30" s="9"/>
      <c r="J30" s="9"/>
      <c r="K30" s="9"/>
      <c r="L30" s="9"/>
      <c r="M30" s="9"/>
      <c r="N30" s="9"/>
      <c r="O30" s="9"/>
      <c r="P30" s="9"/>
      <c r="R30" s="9"/>
      <c r="S30" s="9"/>
      <c r="T30" s="9"/>
      <c r="U30" s="9"/>
      <c r="V30" s="9"/>
      <c r="W30" s="9"/>
      <c r="X30" s="9"/>
      <c r="Z30" s="9"/>
      <c r="AA30" s="9"/>
      <c r="AB30" s="9"/>
      <c r="AC30" s="9"/>
      <c r="AD30" s="9"/>
      <c r="AE30" s="9"/>
      <c r="AF30" s="9"/>
      <c r="AH30" s="9"/>
      <c r="AI30" s="9"/>
      <c r="AJ30" s="9"/>
      <c r="AK30" s="9"/>
      <c r="AL30" s="9"/>
      <c r="AM30" s="9"/>
      <c r="AN30" s="9"/>
      <c r="AP30" s="9"/>
      <c r="AQ30" s="9"/>
      <c r="AR30" s="9"/>
      <c r="AS30" s="9"/>
      <c r="AT30" s="9"/>
      <c r="AU30" s="9"/>
      <c r="AV30" s="9"/>
      <c r="AX30" s="9"/>
      <c r="AY30" s="9"/>
      <c r="AZ30" s="9"/>
      <c r="BA30" s="9"/>
      <c r="BB30" s="9"/>
      <c r="BC30" s="9"/>
      <c r="BD30" s="9"/>
      <c r="BF30" s="9"/>
      <c r="BG30" s="9"/>
      <c r="BH30" s="9"/>
      <c r="BI30" s="9"/>
      <c r="BJ30" s="9"/>
      <c r="BK30" s="9"/>
      <c r="BL30" s="9"/>
      <c r="BN30" s="9"/>
      <c r="BO30" s="9"/>
      <c r="BP30" s="9"/>
      <c r="BQ30" s="9"/>
      <c r="BR30" s="9"/>
      <c r="BS30" s="9"/>
      <c r="BT30" s="9"/>
      <c r="BV30" s="9"/>
      <c r="BW30" s="9"/>
      <c r="BX30" s="9"/>
      <c r="BY30" s="9"/>
      <c r="BZ30" s="9"/>
      <c r="CA30" s="9"/>
      <c r="CB30" s="9"/>
      <c r="CD30" s="9"/>
      <c r="CE30" s="9"/>
      <c r="CF30" s="9"/>
      <c r="CG30" s="9"/>
      <c r="CH30" s="9"/>
      <c r="CI30" s="9"/>
      <c r="CJ30" s="9"/>
    </row>
    <row r="31" spans="1:88" x14ac:dyDescent="0.3">
      <c r="B31" s="9"/>
      <c r="C31" s="9"/>
      <c r="D31" s="9"/>
      <c r="E31" s="9"/>
      <c r="F31" s="9"/>
      <c r="G31" s="9"/>
      <c r="H31" s="9"/>
      <c r="J31" s="9"/>
      <c r="K31" s="9"/>
      <c r="L31" s="9"/>
      <c r="M31" s="9"/>
      <c r="N31" s="9"/>
      <c r="O31" s="9"/>
      <c r="P31" s="9"/>
      <c r="R31" s="9"/>
      <c r="S31" s="9"/>
      <c r="T31" s="9"/>
      <c r="U31" s="9"/>
      <c r="V31" s="9"/>
      <c r="W31" s="9"/>
      <c r="X31" s="9"/>
      <c r="Z31" s="9"/>
      <c r="AA31" s="9"/>
      <c r="AB31" s="9"/>
      <c r="AC31" s="9"/>
      <c r="AD31" s="9"/>
      <c r="AE31" s="9"/>
      <c r="AF31" s="9"/>
      <c r="AH31" s="9"/>
      <c r="AI31" s="9"/>
      <c r="AJ31" s="9"/>
      <c r="AK31" s="9"/>
      <c r="AL31" s="9"/>
      <c r="AM31" s="9"/>
      <c r="AN31" s="9"/>
      <c r="AP31" s="9"/>
      <c r="AQ31" s="9"/>
      <c r="AR31" s="9"/>
      <c r="AS31" s="9"/>
      <c r="AT31" s="9"/>
      <c r="AU31" s="9"/>
      <c r="AV31" s="9"/>
      <c r="AX31" s="9"/>
      <c r="AY31" s="9"/>
      <c r="AZ31" s="9"/>
      <c r="BA31" s="9"/>
      <c r="BB31" s="9"/>
      <c r="BC31" s="9"/>
      <c r="BD31" s="9"/>
      <c r="BF31" s="9"/>
      <c r="BG31" s="9"/>
      <c r="BH31" s="9"/>
      <c r="BI31" s="9"/>
      <c r="BJ31" s="9"/>
      <c r="BK31" s="9"/>
      <c r="BL31" s="9"/>
      <c r="BN31" s="9"/>
      <c r="BO31" s="9"/>
      <c r="BP31" s="9"/>
      <c r="BQ31" s="9"/>
      <c r="BR31" s="9"/>
      <c r="BS31" s="9"/>
      <c r="BT31" s="9"/>
      <c r="BV31" s="9"/>
      <c r="BW31" s="9"/>
      <c r="BX31" s="9"/>
      <c r="BY31" s="9"/>
      <c r="BZ31" s="9"/>
      <c r="CA31" s="9"/>
      <c r="CB31" s="9"/>
      <c r="CD31" s="9"/>
      <c r="CE31" s="9"/>
      <c r="CF31" s="9"/>
      <c r="CG31" s="9"/>
      <c r="CH31" s="9"/>
      <c r="CI31" s="9"/>
      <c r="CJ31" s="9"/>
    </row>
    <row r="32" spans="1:88" x14ac:dyDescent="0.3">
      <c r="B32" s="9"/>
      <c r="C32" s="9"/>
      <c r="D32" s="9"/>
      <c r="E32" s="9"/>
      <c r="F32" s="9"/>
      <c r="G32" s="9"/>
      <c r="H32" s="9"/>
      <c r="J32" s="9"/>
      <c r="K32" s="9"/>
      <c r="L32" s="9"/>
      <c r="M32" s="9"/>
      <c r="N32" s="9"/>
      <c r="O32" s="9"/>
      <c r="P32" s="9"/>
      <c r="R32" s="9"/>
      <c r="S32" s="9"/>
      <c r="T32" s="9"/>
      <c r="U32" s="9"/>
      <c r="V32" s="9"/>
      <c r="W32" s="9"/>
      <c r="X32" s="9"/>
      <c r="Z32" s="9"/>
      <c r="AA32" s="9"/>
      <c r="AB32" s="9"/>
      <c r="AC32" s="9"/>
      <c r="AD32" s="9"/>
      <c r="AE32" s="9"/>
      <c r="AF32" s="9"/>
      <c r="AH32" s="9"/>
      <c r="AI32" s="9"/>
      <c r="AJ32" s="9"/>
      <c r="AK32" s="9"/>
      <c r="AL32" s="9"/>
      <c r="AM32" s="9"/>
      <c r="AN32" s="9"/>
      <c r="AP32" s="9"/>
      <c r="AQ32" s="9"/>
      <c r="AR32" s="9"/>
      <c r="AS32" s="9"/>
      <c r="AT32" s="9"/>
      <c r="AU32" s="9"/>
      <c r="AV32" s="9"/>
      <c r="AX32" s="9"/>
      <c r="AY32" s="9"/>
      <c r="AZ32" s="9"/>
      <c r="BA32" s="9"/>
      <c r="BB32" s="9"/>
      <c r="BC32" s="9"/>
      <c r="BD32" s="9"/>
      <c r="BF32" s="9"/>
      <c r="BG32" s="9"/>
      <c r="BH32" s="9"/>
      <c r="BI32" s="9"/>
      <c r="BJ32" s="9"/>
      <c r="BK32" s="9"/>
      <c r="BL32" s="9"/>
      <c r="BN32" s="9"/>
      <c r="BO32" s="9"/>
      <c r="BP32" s="9"/>
      <c r="BQ32" s="9"/>
      <c r="BR32" s="9"/>
      <c r="BS32" s="9"/>
      <c r="BT32" s="9"/>
      <c r="BV32" s="9"/>
      <c r="BW32" s="9"/>
      <c r="BX32" s="9"/>
      <c r="BY32" s="9"/>
      <c r="BZ32" s="9"/>
      <c r="CA32" s="9"/>
      <c r="CB32" s="9"/>
      <c r="CD32" s="9"/>
      <c r="CE32" s="9"/>
      <c r="CF32" s="9"/>
      <c r="CG32" s="9"/>
      <c r="CH32" s="9"/>
      <c r="CI32" s="9"/>
      <c r="CJ32" s="9"/>
    </row>
    <row r="33" spans="1:88" x14ac:dyDescent="0.3">
      <c r="B33" s="9"/>
      <c r="C33" s="9"/>
      <c r="D33" s="9"/>
      <c r="E33" s="9"/>
      <c r="F33" s="9"/>
      <c r="G33" s="9"/>
      <c r="H33" s="9"/>
      <c r="J33" s="9"/>
      <c r="K33" s="9"/>
      <c r="L33" s="9"/>
      <c r="M33" s="9"/>
      <c r="N33" s="9"/>
      <c r="O33" s="9"/>
      <c r="P33" s="9"/>
      <c r="R33" s="9"/>
      <c r="S33" s="9"/>
      <c r="T33" s="9"/>
      <c r="U33" s="9"/>
      <c r="V33" s="9"/>
      <c r="W33" s="9"/>
      <c r="X33" s="9"/>
      <c r="Z33" s="9"/>
      <c r="AA33" s="9"/>
      <c r="AB33" s="9"/>
      <c r="AC33" s="9"/>
      <c r="AD33" s="9"/>
      <c r="AE33" s="9"/>
      <c r="AF33" s="9"/>
      <c r="AH33" s="9"/>
      <c r="AI33" s="9"/>
      <c r="AJ33" s="9"/>
      <c r="AK33" s="9"/>
      <c r="AL33" s="9"/>
      <c r="AM33" s="9"/>
      <c r="AN33" s="9"/>
      <c r="AP33" s="9"/>
      <c r="AQ33" s="9"/>
      <c r="AR33" s="9"/>
      <c r="AS33" s="9"/>
      <c r="AT33" s="9"/>
      <c r="AU33" s="9"/>
      <c r="AV33" s="9"/>
      <c r="AX33" s="9"/>
      <c r="AY33" s="9"/>
      <c r="AZ33" s="9"/>
      <c r="BA33" s="9"/>
      <c r="BB33" s="9"/>
      <c r="BC33" s="9"/>
      <c r="BD33" s="9"/>
      <c r="BF33" s="9"/>
      <c r="BG33" s="9"/>
      <c r="BH33" s="9"/>
      <c r="BI33" s="9"/>
      <c r="BJ33" s="9"/>
      <c r="BK33" s="9"/>
      <c r="BL33" s="9"/>
      <c r="BN33" s="9"/>
      <c r="BO33" s="9"/>
      <c r="BP33" s="9"/>
      <c r="BQ33" s="9"/>
      <c r="BR33" s="9"/>
      <c r="BS33" s="9"/>
      <c r="BT33" s="9"/>
      <c r="BV33" s="9"/>
      <c r="BW33" s="9"/>
      <c r="BX33" s="9"/>
      <c r="BY33" s="9"/>
      <c r="BZ33" s="9"/>
      <c r="CA33" s="9"/>
      <c r="CB33" s="9"/>
      <c r="CD33" s="9"/>
      <c r="CE33" s="9"/>
      <c r="CF33" s="9"/>
      <c r="CG33" s="9"/>
      <c r="CH33" s="9"/>
      <c r="CI33" s="9"/>
      <c r="CJ33" s="9"/>
    </row>
    <row r="34" spans="1:88" x14ac:dyDescent="0.3">
      <c r="B34" s="9"/>
      <c r="C34" s="9"/>
      <c r="D34" s="9"/>
      <c r="E34" s="9"/>
      <c r="F34" s="9"/>
      <c r="G34" s="9"/>
      <c r="H34" s="9"/>
      <c r="J34" s="9"/>
      <c r="K34" s="9"/>
      <c r="L34" s="9"/>
      <c r="M34" s="9"/>
      <c r="N34" s="9"/>
      <c r="O34" s="9"/>
      <c r="P34" s="9"/>
      <c r="R34" s="9"/>
      <c r="S34" s="9"/>
      <c r="T34" s="9"/>
      <c r="U34" s="9"/>
      <c r="V34" s="9"/>
      <c r="W34" s="9"/>
      <c r="X34" s="9"/>
      <c r="Z34" s="9"/>
      <c r="AA34" s="9"/>
      <c r="AB34" s="9"/>
      <c r="AC34" s="9"/>
      <c r="AD34" s="9"/>
      <c r="AE34" s="9"/>
      <c r="AF34" s="9"/>
      <c r="AH34" s="9"/>
      <c r="AI34" s="9"/>
      <c r="AJ34" s="9"/>
      <c r="AK34" s="9"/>
      <c r="AL34" s="9"/>
      <c r="AM34" s="9"/>
      <c r="AN34" s="9"/>
      <c r="AP34" s="9"/>
      <c r="AQ34" s="9"/>
      <c r="AR34" s="9"/>
      <c r="AS34" s="9"/>
      <c r="AT34" s="9"/>
      <c r="AU34" s="9"/>
      <c r="AV34" s="9"/>
      <c r="AX34" s="9"/>
      <c r="AY34" s="9"/>
      <c r="AZ34" s="9"/>
      <c r="BA34" s="9"/>
      <c r="BB34" s="9"/>
      <c r="BC34" s="9"/>
      <c r="BD34" s="9"/>
      <c r="BF34" s="9"/>
      <c r="BG34" s="9"/>
      <c r="BH34" s="9"/>
      <c r="BI34" s="9"/>
      <c r="BJ34" s="9"/>
      <c r="BK34" s="9"/>
      <c r="BL34" s="9"/>
      <c r="BN34" s="9"/>
      <c r="BO34" s="9"/>
      <c r="BP34" s="9"/>
      <c r="BQ34" s="9"/>
      <c r="BR34" s="9"/>
      <c r="BS34" s="9"/>
      <c r="BT34" s="9"/>
      <c r="BV34" s="9"/>
      <c r="BW34" s="9"/>
      <c r="BX34" s="9"/>
      <c r="BY34" s="9"/>
      <c r="BZ34" s="9"/>
      <c r="CA34" s="9"/>
      <c r="CB34" s="9"/>
      <c r="CD34" s="9"/>
      <c r="CE34" s="9"/>
      <c r="CF34" s="9"/>
      <c r="CG34" s="9"/>
      <c r="CH34" s="9"/>
      <c r="CI34" s="9"/>
      <c r="CJ34" s="9"/>
    </row>
    <row r="35" spans="1:88" x14ac:dyDescent="0.3">
      <c r="B35" s="9"/>
      <c r="C35" s="9"/>
      <c r="D35" s="9"/>
      <c r="E35" s="9"/>
      <c r="F35" s="9"/>
      <c r="G35" s="9"/>
      <c r="H35" s="9"/>
      <c r="J35" s="9"/>
      <c r="K35" s="9"/>
      <c r="L35" s="9"/>
      <c r="M35" s="9"/>
      <c r="N35" s="9"/>
      <c r="O35" s="9"/>
      <c r="P35" s="9"/>
      <c r="R35" s="9"/>
      <c r="S35" s="9"/>
      <c r="T35" s="9"/>
      <c r="U35" s="9"/>
      <c r="V35" s="9"/>
      <c r="W35" s="9"/>
      <c r="X35" s="9"/>
      <c r="Z35" s="9"/>
      <c r="AA35" s="9"/>
      <c r="AB35" s="9"/>
      <c r="AC35" s="9"/>
      <c r="AD35" s="9"/>
      <c r="AE35" s="9"/>
      <c r="AF35" s="9"/>
      <c r="AH35" s="9"/>
      <c r="AI35" s="9"/>
      <c r="AJ35" s="9"/>
      <c r="AK35" s="9"/>
      <c r="AL35" s="9"/>
      <c r="AM35" s="9"/>
      <c r="AN35" s="9"/>
      <c r="AP35" s="9"/>
      <c r="AQ35" s="9"/>
      <c r="AR35" s="9"/>
      <c r="AS35" s="9"/>
      <c r="AT35" s="9"/>
      <c r="AU35" s="9"/>
      <c r="AV35" s="9"/>
      <c r="AX35" s="9"/>
      <c r="AY35" s="9"/>
      <c r="AZ35" s="9"/>
      <c r="BA35" s="9"/>
      <c r="BB35" s="9"/>
      <c r="BC35" s="9"/>
      <c r="BD35" s="9"/>
      <c r="BF35" s="9"/>
      <c r="BG35" s="9"/>
      <c r="BH35" s="9"/>
      <c r="BI35" s="9"/>
      <c r="BJ35" s="9"/>
      <c r="BK35" s="9"/>
      <c r="BL35" s="9"/>
      <c r="BN35" s="9"/>
      <c r="BO35" s="9"/>
      <c r="BP35" s="9"/>
      <c r="BQ35" s="9"/>
      <c r="BR35" s="9"/>
      <c r="BS35" s="9"/>
      <c r="BT35" s="9"/>
      <c r="BV35" s="9"/>
      <c r="BW35" s="9"/>
      <c r="BX35" s="9"/>
      <c r="BY35" s="9"/>
      <c r="BZ35" s="9"/>
      <c r="CA35" s="9"/>
      <c r="CB35" s="9"/>
      <c r="CD35" s="9"/>
      <c r="CE35" s="9"/>
      <c r="CF35" s="9"/>
      <c r="CG35" s="9"/>
      <c r="CH35" s="9"/>
      <c r="CI35" s="9"/>
      <c r="CJ35" s="9"/>
    </row>
    <row r="36" spans="1:88" x14ac:dyDescent="0.3">
      <c r="B36" s="9"/>
      <c r="C36" s="9"/>
      <c r="D36" s="9"/>
      <c r="E36" s="9"/>
      <c r="F36" s="9"/>
      <c r="G36" s="9"/>
      <c r="H36" s="9"/>
      <c r="J36" s="9"/>
      <c r="K36" s="9"/>
      <c r="L36" s="9"/>
      <c r="M36" s="9"/>
      <c r="N36" s="9"/>
      <c r="O36" s="9"/>
      <c r="P36" s="9"/>
      <c r="R36" s="9"/>
      <c r="S36" s="9"/>
      <c r="T36" s="9"/>
      <c r="U36" s="9"/>
      <c r="V36" s="9"/>
      <c r="W36" s="9"/>
      <c r="X36" s="9"/>
      <c r="Z36" s="9"/>
      <c r="AA36" s="9"/>
      <c r="AB36" s="9"/>
      <c r="AC36" s="9"/>
      <c r="AD36" s="9"/>
      <c r="AE36" s="9"/>
      <c r="AF36" s="9"/>
      <c r="AH36" s="9"/>
      <c r="AI36" s="9"/>
      <c r="AJ36" s="9"/>
      <c r="AK36" s="9"/>
      <c r="AL36" s="9"/>
      <c r="AM36" s="9"/>
      <c r="AN36" s="9"/>
      <c r="AP36" s="9"/>
      <c r="AQ36" s="9"/>
      <c r="AR36" s="9"/>
      <c r="AS36" s="9"/>
      <c r="AT36" s="9"/>
      <c r="AU36" s="9"/>
      <c r="AV36" s="9"/>
      <c r="AX36" s="9"/>
      <c r="AY36" s="9"/>
      <c r="AZ36" s="9"/>
      <c r="BA36" s="9"/>
      <c r="BB36" s="9"/>
      <c r="BC36" s="9"/>
      <c r="BD36" s="9"/>
      <c r="BF36" s="9"/>
      <c r="BG36" s="9"/>
      <c r="BH36" s="9"/>
      <c r="BI36" s="9"/>
      <c r="BJ36" s="9"/>
      <c r="BK36" s="9"/>
      <c r="BL36" s="9"/>
      <c r="BN36" s="9"/>
      <c r="BO36" s="9"/>
      <c r="BP36" s="9"/>
      <c r="BQ36" s="9"/>
      <c r="BR36" s="9"/>
      <c r="BS36" s="9"/>
      <c r="BT36" s="9"/>
      <c r="BV36" s="9"/>
      <c r="BW36" s="9"/>
      <c r="BX36" s="9"/>
      <c r="BY36" s="9"/>
      <c r="BZ36" s="9"/>
      <c r="CA36" s="9"/>
      <c r="CB36" s="9"/>
      <c r="CD36" s="9"/>
      <c r="CE36" s="9"/>
      <c r="CF36" s="9"/>
      <c r="CG36" s="9"/>
      <c r="CH36" s="9"/>
      <c r="CI36" s="9"/>
      <c r="CJ36" s="9"/>
    </row>
    <row r="37" spans="1:88" x14ac:dyDescent="0.3">
      <c r="B37" s="9"/>
      <c r="C37" s="9"/>
      <c r="D37" s="9"/>
      <c r="E37" s="9"/>
      <c r="F37" s="9"/>
      <c r="G37" s="9"/>
      <c r="H37" s="9"/>
      <c r="J37" s="9"/>
      <c r="K37" s="9"/>
      <c r="L37" s="9"/>
      <c r="M37" s="9"/>
      <c r="N37" s="9"/>
      <c r="O37" s="9"/>
      <c r="P37" s="9"/>
      <c r="R37" s="9"/>
      <c r="S37" s="9"/>
      <c r="T37" s="9"/>
      <c r="U37" s="9"/>
      <c r="V37" s="9"/>
      <c r="W37" s="9"/>
      <c r="X37" s="9"/>
      <c r="Z37" s="9"/>
      <c r="AA37" s="9"/>
      <c r="AB37" s="9"/>
      <c r="AC37" s="9"/>
      <c r="AD37" s="9"/>
      <c r="AE37" s="9"/>
      <c r="AF37" s="9"/>
      <c r="AH37" s="9"/>
      <c r="AI37" s="9"/>
      <c r="AJ37" s="9"/>
      <c r="AK37" s="9"/>
      <c r="AL37" s="9"/>
      <c r="AM37" s="9"/>
      <c r="AN37" s="9"/>
      <c r="AP37" s="9"/>
      <c r="AQ37" s="9"/>
      <c r="AR37" s="9"/>
      <c r="AS37" s="9"/>
      <c r="AT37" s="9"/>
      <c r="AU37" s="9"/>
      <c r="AV37" s="9"/>
      <c r="AX37" s="9"/>
      <c r="AY37" s="9"/>
      <c r="AZ37" s="9"/>
      <c r="BA37" s="9"/>
      <c r="BB37" s="9"/>
      <c r="BC37" s="9"/>
      <c r="BD37" s="9"/>
      <c r="BF37" s="9"/>
      <c r="BG37" s="9"/>
      <c r="BH37" s="9"/>
      <c r="BI37" s="9"/>
      <c r="BJ37" s="9"/>
      <c r="BK37" s="9"/>
      <c r="BL37" s="9"/>
      <c r="BN37" s="9"/>
      <c r="BO37" s="9"/>
      <c r="BP37" s="9"/>
      <c r="BQ37" s="9"/>
      <c r="BR37" s="9"/>
      <c r="BS37" s="9"/>
      <c r="BT37" s="9"/>
      <c r="BV37" s="9"/>
      <c r="BW37" s="9"/>
      <c r="BX37" s="9"/>
      <c r="BY37" s="9"/>
      <c r="BZ37" s="9"/>
      <c r="CA37" s="9"/>
      <c r="CB37" s="9"/>
      <c r="CD37" s="9"/>
      <c r="CE37" s="9"/>
      <c r="CF37" s="9"/>
      <c r="CG37" s="9"/>
      <c r="CH37" s="9"/>
      <c r="CI37" s="9"/>
      <c r="CJ37" s="9"/>
    </row>
    <row r="38" spans="1:88" x14ac:dyDescent="0.3">
      <c r="B38" s="5"/>
      <c r="C38" s="5"/>
      <c r="D38" s="5"/>
      <c r="E38" s="5"/>
      <c r="F38" s="5"/>
      <c r="G38" s="5"/>
      <c r="H38" s="5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  <c r="Z38" s="5"/>
      <c r="AA38" s="5"/>
      <c r="AB38" s="5"/>
      <c r="AC38" s="5"/>
      <c r="AD38" s="5"/>
      <c r="AE38" s="5"/>
      <c r="AF38" s="5"/>
      <c r="AH38" s="5"/>
      <c r="AI38" s="5"/>
      <c r="AJ38" s="5"/>
      <c r="AK38" s="5"/>
      <c r="AL38" s="5"/>
      <c r="AM38" s="5"/>
      <c r="AN38" s="5"/>
      <c r="AP38" s="5"/>
      <c r="AQ38" s="5"/>
      <c r="AR38" s="5"/>
      <c r="AS38" s="5"/>
      <c r="AT38" s="5"/>
      <c r="AU38" s="5"/>
      <c r="AV38" s="5"/>
      <c r="AX38" s="5"/>
      <c r="AY38" s="5"/>
      <c r="AZ38" s="5"/>
      <c r="BA38" s="5"/>
      <c r="BB38" s="5"/>
      <c r="BC38" s="5"/>
      <c r="BD38" s="5"/>
      <c r="BF38" s="5"/>
      <c r="BG38" s="5"/>
      <c r="BH38" s="5"/>
      <c r="BI38" s="5"/>
      <c r="BJ38" s="5"/>
      <c r="BK38" s="5"/>
      <c r="BL38" s="5"/>
      <c r="BN38" s="5"/>
      <c r="BO38" s="5"/>
      <c r="BP38" s="5"/>
      <c r="BQ38" s="5"/>
      <c r="BR38" s="5"/>
      <c r="BS38" s="5"/>
      <c r="BT38" s="5"/>
      <c r="BV38" s="5"/>
      <c r="BW38" s="5"/>
      <c r="BX38" s="5"/>
      <c r="BY38" s="5"/>
      <c r="BZ38" s="5"/>
      <c r="CA38" s="5"/>
      <c r="CB38" s="5"/>
      <c r="CD38" s="5"/>
      <c r="CE38" s="5"/>
      <c r="CF38" s="5"/>
      <c r="CG38" s="5"/>
      <c r="CH38" s="5"/>
      <c r="CI38" s="5"/>
      <c r="CJ38" s="5"/>
    </row>
    <row r="39" spans="1:88" x14ac:dyDescent="0.3">
      <c r="A39" s="16" t="s">
        <v>47</v>
      </c>
      <c r="B39" s="9"/>
      <c r="C39" s="9"/>
      <c r="D39" s="9"/>
      <c r="E39" s="9"/>
      <c r="F39" s="9"/>
      <c r="G39" s="9"/>
      <c r="H39" s="9"/>
      <c r="J39" s="9"/>
      <c r="K39" s="9"/>
      <c r="L39" s="9"/>
      <c r="M39" s="9"/>
      <c r="N39" s="9"/>
      <c r="O39" s="9"/>
      <c r="P39" s="9"/>
      <c r="R39" s="9"/>
      <c r="S39" s="9"/>
      <c r="T39" s="9"/>
      <c r="U39" s="9"/>
      <c r="V39" s="9"/>
      <c r="W39" s="9"/>
      <c r="X39" s="9"/>
      <c r="Z39" s="9"/>
      <c r="AA39" s="9"/>
      <c r="AB39" s="9"/>
      <c r="AC39" s="9"/>
      <c r="AD39" s="9"/>
      <c r="AE39" s="9"/>
      <c r="AF39" s="9"/>
      <c r="AH39" s="9"/>
      <c r="AI39" s="9"/>
      <c r="AJ39" s="9"/>
      <c r="AK39" s="9"/>
      <c r="AL39" s="9"/>
      <c r="AM39" s="9"/>
      <c r="AN39" s="9"/>
      <c r="AP39" s="9"/>
      <c r="AQ39" s="9"/>
      <c r="AR39" s="9"/>
      <c r="AS39" s="9"/>
      <c r="AT39" s="9"/>
      <c r="AU39" s="9"/>
      <c r="AV39" s="9"/>
      <c r="AX39" s="9"/>
      <c r="AY39" s="9"/>
      <c r="AZ39" s="9"/>
      <c r="BA39" s="9"/>
      <c r="BB39" s="9"/>
      <c r="BC39" s="9"/>
      <c r="BD39" s="9"/>
      <c r="BF39" s="9"/>
      <c r="BG39" s="9"/>
      <c r="BH39" s="9"/>
      <c r="BI39" s="9"/>
      <c r="BJ39" s="9"/>
      <c r="BK39" s="9"/>
      <c r="BL39" s="9"/>
      <c r="BN39" s="9"/>
      <c r="BO39" s="9"/>
      <c r="BP39" s="9"/>
      <c r="BQ39" s="9"/>
      <c r="BR39" s="9"/>
      <c r="BS39" s="9"/>
      <c r="BT39" s="9"/>
      <c r="BV39" s="9"/>
      <c r="BW39" s="9"/>
      <c r="BX39" s="9"/>
      <c r="BY39" s="9"/>
      <c r="BZ39" s="9"/>
      <c r="CA39" s="9"/>
      <c r="CB39" s="9"/>
      <c r="CD39" s="9"/>
      <c r="CE39" s="9"/>
      <c r="CF39" s="9"/>
      <c r="CG39" s="9"/>
      <c r="CH39" s="9"/>
      <c r="CI39" s="9"/>
      <c r="CJ39" s="9"/>
    </row>
    <row r="40" spans="1:88" x14ac:dyDescent="0.3">
      <c r="B40" s="9"/>
      <c r="C40" s="9"/>
      <c r="D40" s="9"/>
      <c r="E40" s="9"/>
      <c r="F40" s="9"/>
      <c r="G40" s="9"/>
      <c r="H40" s="9"/>
      <c r="J40" s="9"/>
      <c r="K40" s="9"/>
      <c r="L40" s="9"/>
      <c r="M40" s="9"/>
      <c r="N40" s="9"/>
      <c r="O40" s="9"/>
      <c r="P40" s="9"/>
      <c r="R40" s="9"/>
      <c r="S40" s="9"/>
      <c r="T40" s="9"/>
      <c r="U40" s="9"/>
      <c r="V40" s="9"/>
      <c r="W40" s="9"/>
      <c r="X40" s="9"/>
      <c r="Z40" s="9"/>
      <c r="AA40" s="9"/>
      <c r="AB40" s="9"/>
      <c r="AC40" s="9"/>
      <c r="AD40" s="9"/>
      <c r="AE40" s="9"/>
      <c r="AF40" s="9"/>
      <c r="AH40" s="9"/>
      <c r="AI40" s="9"/>
      <c r="AJ40" s="9"/>
      <c r="AK40" s="9"/>
      <c r="AL40" s="9"/>
      <c r="AM40" s="9"/>
      <c r="AN40" s="9"/>
      <c r="AP40" s="9"/>
      <c r="AQ40" s="9"/>
      <c r="AR40" s="9"/>
      <c r="AS40" s="9"/>
      <c r="AT40" s="9"/>
      <c r="AU40" s="9"/>
      <c r="AV40" s="9"/>
      <c r="AX40" s="9"/>
      <c r="AY40" s="9"/>
      <c r="AZ40" s="9"/>
      <c r="BA40" s="9"/>
      <c r="BB40" s="9"/>
      <c r="BC40" s="9"/>
      <c r="BD40" s="9"/>
      <c r="BF40" s="9"/>
      <c r="BG40" s="9"/>
      <c r="BH40" s="9"/>
      <c r="BI40" s="9"/>
      <c r="BJ40" s="9"/>
      <c r="BK40" s="9"/>
      <c r="BL40" s="9"/>
      <c r="BN40" s="9"/>
      <c r="BO40" s="9"/>
      <c r="BP40" s="9"/>
      <c r="BQ40" s="9"/>
      <c r="BR40" s="9"/>
      <c r="BS40" s="9"/>
      <c r="BT40" s="9"/>
      <c r="BV40" s="9"/>
      <c r="BW40" s="9"/>
      <c r="BX40" s="9"/>
      <c r="BY40" s="9"/>
      <c r="BZ40" s="9"/>
      <c r="CA40" s="9"/>
      <c r="CB40" s="9"/>
      <c r="CD40" s="9"/>
      <c r="CE40" s="9"/>
      <c r="CF40" s="9"/>
      <c r="CG40" s="9"/>
      <c r="CH40" s="9"/>
      <c r="CI40" s="9"/>
      <c r="CJ40" s="9"/>
    </row>
    <row r="41" spans="1:88" x14ac:dyDescent="0.3">
      <c r="B41" s="9"/>
      <c r="C41" s="9"/>
      <c r="D41" s="9"/>
      <c r="E41" s="9"/>
      <c r="F41" s="9"/>
      <c r="G41" s="9"/>
      <c r="H41" s="9"/>
      <c r="J41" s="9"/>
      <c r="K41" s="9"/>
      <c r="L41" s="9"/>
      <c r="M41" s="9"/>
      <c r="N41" s="9"/>
      <c r="O41" s="9"/>
      <c r="P41" s="9"/>
      <c r="R41" s="9"/>
      <c r="S41" s="9"/>
      <c r="T41" s="9"/>
      <c r="U41" s="9"/>
      <c r="V41" s="9"/>
      <c r="W41" s="9"/>
      <c r="X41" s="9"/>
      <c r="Z41" s="9"/>
      <c r="AA41" s="9"/>
      <c r="AB41" s="9"/>
      <c r="AC41" s="9"/>
      <c r="AD41" s="9"/>
      <c r="AE41" s="9"/>
      <c r="AF41" s="9"/>
      <c r="AH41" s="9"/>
      <c r="AI41" s="9"/>
      <c r="AJ41" s="9"/>
      <c r="AK41" s="9"/>
      <c r="AL41" s="9"/>
      <c r="AM41" s="9"/>
      <c r="AN41" s="9"/>
      <c r="AP41" s="9"/>
      <c r="AQ41" s="9"/>
      <c r="AR41" s="9"/>
      <c r="AS41" s="9"/>
      <c r="AT41" s="9"/>
      <c r="AU41" s="9"/>
      <c r="AV41" s="9"/>
      <c r="AX41" s="9"/>
      <c r="AY41" s="9"/>
      <c r="AZ41" s="9"/>
      <c r="BA41" s="9"/>
      <c r="BB41" s="9"/>
      <c r="BC41" s="9"/>
      <c r="BD41" s="9"/>
      <c r="BF41" s="9"/>
      <c r="BG41" s="9"/>
      <c r="BH41" s="9"/>
      <c r="BI41" s="9"/>
      <c r="BJ41" s="9"/>
      <c r="BK41" s="9"/>
      <c r="BL41" s="9"/>
      <c r="BN41" s="9"/>
      <c r="BO41" s="9"/>
      <c r="BP41" s="9"/>
      <c r="BQ41" s="9"/>
      <c r="BR41" s="9"/>
      <c r="BS41" s="9"/>
      <c r="BT41" s="9"/>
      <c r="BV41" s="9"/>
      <c r="BW41" s="9"/>
      <c r="BX41" s="9"/>
      <c r="BY41" s="9"/>
      <c r="BZ41" s="9"/>
      <c r="CA41" s="9"/>
      <c r="CB41" s="9"/>
      <c r="CD41" s="9"/>
      <c r="CE41" s="9"/>
      <c r="CF41" s="9"/>
      <c r="CG41" s="9"/>
      <c r="CH41" s="9"/>
      <c r="CI41" s="9"/>
      <c r="CJ41" s="9"/>
    </row>
    <row r="42" spans="1:88" x14ac:dyDescent="0.3">
      <c r="B42" s="9"/>
      <c r="C42" s="9"/>
      <c r="D42" s="9"/>
      <c r="E42" s="9"/>
      <c r="F42" s="9"/>
      <c r="G42" s="9"/>
      <c r="H42" s="9"/>
      <c r="J42" s="9"/>
      <c r="K42" s="9"/>
      <c r="L42" s="9"/>
      <c r="M42" s="9"/>
      <c r="N42" s="9"/>
      <c r="O42" s="9"/>
      <c r="P42" s="9"/>
      <c r="R42" s="9"/>
      <c r="S42" s="9"/>
      <c r="T42" s="9"/>
      <c r="U42" s="9"/>
      <c r="V42" s="9"/>
      <c r="W42" s="9"/>
      <c r="X42" s="9"/>
      <c r="Z42" s="9"/>
      <c r="AA42" s="9"/>
      <c r="AB42" s="9"/>
      <c r="AC42" s="9"/>
      <c r="AD42" s="9"/>
      <c r="AE42" s="9"/>
      <c r="AF42" s="9"/>
      <c r="AH42" s="9"/>
      <c r="AI42" s="9"/>
      <c r="AJ42" s="9"/>
      <c r="AK42" s="9"/>
      <c r="AL42" s="9"/>
      <c r="AM42" s="9"/>
      <c r="AN42" s="9"/>
      <c r="AP42" s="9"/>
      <c r="AQ42" s="9"/>
      <c r="AR42" s="9"/>
      <c r="AS42" s="9"/>
      <c r="AT42" s="9"/>
      <c r="AU42" s="9"/>
      <c r="AV42" s="9"/>
      <c r="AX42" s="9"/>
      <c r="AY42" s="9"/>
      <c r="AZ42" s="9"/>
      <c r="BA42" s="9"/>
      <c r="BB42" s="9"/>
      <c r="BC42" s="9"/>
      <c r="BD42" s="9"/>
      <c r="BF42" s="9"/>
      <c r="BG42" s="9"/>
      <c r="BH42" s="9"/>
      <c r="BI42" s="9"/>
      <c r="BJ42" s="9"/>
      <c r="BK42" s="9"/>
      <c r="BL42" s="9"/>
      <c r="BN42" s="9"/>
      <c r="BO42" s="9"/>
      <c r="BP42" s="9"/>
      <c r="BQ42" s="9"/>
      <c r="BR42" s="9"/>
      <c r="BS42" s="9"/>
      <c r="BT42" s="9"/>
      <c r="BV42" s="9"/>
      <c r="BW42" s="9"/>
      <c r="BX42" s="9"/>
      <c r="BY42" s="9"/>
      <c r="BZ42" s="9"/>
      <c r="CA42" s="9"/>
      <c r="CB42" s="9"/>
      <c r="CD42" s="9"/>
      <c r="CE42" s="9"/>
      <c r="CF42" s="9"/>
      <c r="CG42" s="9"/>
      <c r="CH42" s="9"/>
      <c r="CI42" s="9"/>
      <c r="CJ42" s="9"/>
    </row>
    <row r="43" spans="1:88" x14ac:dyDescent="0.3">
      <c r="B43" s="9"/>
      <c r="C43" s="9"/>
      <c r="D43" s="9"/>
      <c r="E43" s="9"/>
      <c r="F43" s="9"/>
      <c r="G43" s="9"/>
      <c r="H43" s="9"/>
      <c r="J43" s="9"/>
      <c r="K43" s="9"/>
      <c r="L43" s="9"/>
      <c r="M43" s="9"/>
      <c r="N43" s="9"/>
      <c r="O43" s="9"/>
      <c r="P43" s="9"/>
      <c r="R43" s="9"/>
      <c r="S43" s="9"/>
      <c r="T43" s="9"/>
      <c r="U43" s="9"/>
      <c r="V43" s="9"/>
      <c r="W43" s="9"/>
      <c r="X43" s="9"/>
      <c r="Z43" s="9"/>
      <c r="AA43" s="9"/>
      <c r="AB43" s="9"/>
      <c r="AC43" s="9"/>
      <c r="AD43" s="9"/>
      <c r="AE43" s="9"/>
      <c r="AF43" s="9"/>
      <c r="AH43" s="9"/>
      <c r="AI43" s="9"/>
      <c r="AJ43" s="9"/>
      <c r="AK43" s="9"/>
      <c r="AL43" s="9"/>
      <c r="AM43" s="9"/>
      <c r="AN43" s="9"/>
      <c r="AP43" s="9"/>
      <c r="AQ43" s="9"/>
      <c r="AR43" s="9"/>
      <c r="AS43" s="9"/>
      <c r="AT43" s="9"/>
      <c r="AU43" s="9"/>
      <c r="AV43" s="9"/>
      <c r="AX43" s="9"/>
      <c r="AY43" s="9"/>
      <c r="AZ43" s="9"/>
      <c r="BA43" s="9"/>
      <c r="BB43" s="9"/>
      <c r="BC43" s="9"/>
      <c r="BD43" s="9"/>
      <c r="BF43" s="9"/>
      <c r="BG43" s="9"/>
      <c r="BH43" s="9"/>
      <c r="BI43" s="9"/>
      <c r="BJ43" s="9"/>
      <c r="BK43" s="9"/>
      <c r="BL43" s="9"/>
      <c r="BN43" s="9"/>
      <c r="BO43" s="9"/>
      <c r="BP43" s="9"/>
      <c r="BQ43" s="9"/>
      <c r="BR43" s="9"/>
      <c r="BS43" s="9"/>
      <c r="BT43" s="9"/>
      <c r="BV43" s="9"/>
      <c r="BW43" s="9"/>
      <c r="BX43" s="9"/>
      <c r="BY43" s="9"/>
      <c r="BZ43" s="9"/>
      <c r="CA43" s="9"/>
      <c r="CB43" s="9"/>
      <c r="CD43" s="9"/>
      <c r="CE43" s="9"/>
      <c r="CF43" s="9"/>
      <c r="CG43" s="9"/>
      <c r="CH43" s="9"/>
      <c r="CI43" s="9"/>
      <c r="CJ43" s="9"/>
    </row>
    <row r="44" spans="1:88" x14ac:dyDescent="0.3">
      <c r="B44" s="9"/>
      <c r="C44" s="9"/>
      <c r="D44" s="9"/>
      <c r="E44" s="9"/>
      <c r="F44" s="9"/>
      <c r="G44" s="9"/>
      <c r="H44" s="9"/>
      <c r="J44" s="9"/>
      <c r="K44" s="9"/>
      <c r="L44" s="9"/>
      <c r="M44" s="9"/>
      <c r="N44" s="9"/>
      <c r="O44" s="9"/>
      <c r="P44" s="9"/>
      <c r="R44" s="9"/>
      <c r="S44" s="9"/>
      <c r="T44" s="9"/>
      <c r="U44" s="9"/>
      <c r="V44" s="9"/>
      <c r="W44" s="9"/>
      <c r="X44" s="9"/>
      <c r="Z44" s="9"/>
      <c r="AA44" s="9"/>
      <c r="AB44" s="9"/>
      <c r="AC44" s="9"/>
      <c r="AD44" s="9"/>
      <c r="AE44" s="9"/>
      <c r="AF44" s="9"/>
      <c r="AH44" s="9"/>
      <c r="AI44" s="9"/>
      <c r="AJ44" s="9"/>
      <c r="AK44" s="9"/>
      <c r="AL44" s="9"/>
      <c r="AM44" s="9"/>
      <c r="AN44" s="9"/>
      <c r="AP44" s="9"/>
      <c r="AQ44" s="9"/>
      <c r="AR44" s="9"/>
      <c r="AS44" s="9"/>
      <c r="AT44" s="9"/>
      <c r="AU44" s="9"/>
      <c r="AV44" s="9"/>
      <c r="AX44" s="9"/>
      <c r="AY44" s="9"/>
      <c r="AZ44" s="9"/>
      <c r="BA44" s="9"/>
      <c r="BB44" s="9"/>
      <c r="BC44" s="9"/>
      <c r="BD44" s="9"/>
      <c r="BF44" s="9"/>
      <c r="BG44" s="9"/>
      <c r="BH44" s="9"/>
      <c r="BI44" s="9"/>
      <c r="BJ44" s="9"/>
      <c r="BK44" s="9"/>
      <c r="BL44" s="9"/>
      <c r="BN44" s="9"/>
      <c r="BO44" s="9"/>
      <c r="BP44" s="9"/>
      <c r="BQ44" s="9"/>
      <c r="BR44" s="9"/>
      <c r="BS44" s="9"/>
      <c r="BT44" s="9"/>
      <c r="BV44" s="9"/>
      <c r="BW44" s="9"/>
      <c r="BX44" s="9"/>
      <c r="BY44" s="9"/>
      <c r="BZ44" s="9"/>
      <c r="CA44" s="9"/>
      <c r="CB44" s="9"/>
      <c r="CD44" s="9"/>
      <c r="CE44" s="9"/>
      <c r="CF44" s="9"/>
      <c r="CG44" s="9"/>
      <c r="CH44" s="9"/>
      <c r="CI44" s="9"/>
      <c r="CJ44" s="9"/>
    </row>
    <row r="45" spans="1:88" x14ac:dyDescent="0.3">
      <c r="B45" s="9"/>
      <c r="C45" s="9"/>
      <c r="D45" s="9"/>
      <c r="E45" s="9"/>
      <c r="F45" s="9"/>
      <c r="G45" s="9"/>
      <c r="H45" s="9"/>
      <c r="J45" s="9"/>
      <c r="K45" s="9"/>
      <c r="L45" s="9"/>
      <c r="M45" s="9"/>
      <c r="N45" s="9"/>
      <c r="O45" s="9"/>
      <c r="P45" s="9"/>
      <c r="R45" s="9"/>
      <c r="S45" s="9"/>
      <c r="T45" s="9"/>
      <c r="U45" s="9"/>
      <c r="V45" s="9"/>
      <c r="W45" s="9"/>
      <c r="X45" s="9"/>
      <c r="Z45" s="9"/>
      <c r="AA45" s="9"/>
      <c r="AB45" s="9"/>
      <c r="AC45" s="9"/>
      <c r="AD45" s="9"/>
      <c r="AE45" s="9"/>
      <c r="AF45" s="9"/>
      <c r="AH45" s="9"/>
      <c r="AI45" s="9"/>
      <c r="AJ45" s="9"/>
      <c r="AK45" s="9"/>
      <c r="AL45" s="9"/>
      <c r="AM45" s="9"/>
      <c r="AN45" s="9"/>
      <c r="AP45" s="9"/>
      <c r="AQ45" s="9"/>
      <c r="AR45" s="9"/>
      <c r="AS45" s="9"/>
      <c r="AT45" s="9"/>
      <c r="AU45" s="9"/>
      <c r="AV45" s="9"/>
      <c r="AX45" s="9"/>
      <c r="AY45" s="9"/>
      <c r="AZ45" s="9"/>
      <c r="BA45" s="9"/>
      <c r="BB45" s="9"/>
      <c r="BC45" s="9"/>
      <c r="BD45" s="9"/>
      <c r="BF45" s="9"/>
      <c r="BG45" s="9"/>
      <c r="BH45" s="9"/>
      <c r="BI45" s="9"/>
      <c r="BJ45" s="9"/>
      <c r="BK45" s="9"/>
      <c r="BL45" s="9"/>
      <c r="BN45" s="9"/>
      <c r="BO45" s="9"/>
      <c r="BP45" s="9"/>
      <c r="BQ45" s="9"/>
      <c r="BR45" s="9"/>
      <c r="BS45" s="9"/>
      <c r="BT45" s="9"/>
      <c r="BV45" s="9"/>
      <c r="BW45" s="9"/>
      <c r="BX45" s="9"/>
      <c r="BY45" s="9"/>
      <c r="BZ45" s="9"/>
      <c r="CA45" s="9"/>
      <c r="CB45" s="9"/>
      <c r="CD45" s="9"/>
      <c r="CE45" s="9"/>
      <c r="CF45" s="9"/>
      <c r="CG45" s="9"/>
      <c r="CH45" s="9"/>
      <c r="CI45" s="9"/>
      <c r="CJ45" s="9"/>
    </row>
    <row r="46" spans="1:88" x14ac:dyDescent="0.3">
      <c r="B46" s="9"/>
      <c r="C46" s="9"/>
      <c r="D46" s="9"/>
      <c r="E46" s="9"/>
      <c r="F46" s="9"/>
      <c r="G46" s="9"/>
      <c r="H46" s="9"/>
      <c r="J46" s="9"/>
      <c r="K46" s="9"/>
      <c r="L46" s="9"/>
      <c r="M46" s="9"/>
      <c r="N46" s="9"/>
      <c r="O46" s="9"/>
      <c r="P46" s="9"/>
      <c r="R46" s="9"/>
      <c r="S46" s="9"/>
      <c r="T46" s="9"/>
      <c r="U46" s="9"/>
      <c r="V46" s="9"/>
      <c r="W46" s="9"/>
      <c r="X46" s="9"/>
      <c r="Z46" s="9"/>
      <c r="AA46" s="9"/>
      <c r="AB46" s="9"/>
      <c r="AC46" s="9"/>
      <c r="AD46" s="9"/>
      <c r="AE46" s="9"/>
      <c r="AF46" s="9"/>
      <c r="AH46" s="9"/>
      <c r="AI46" s="9"/>
      <c r="AJ46" s="9"/>
      <c r="AK46" s="9"/>
      <c r="AL46" s="9"/>
      <c r="AM46" s="9"/>
      <c r="AN46" s="9"/>
      <c r="AP46" s="9"/>
      <c r="AQ46" s="9"/>
      <c r="AR46" s="9"/>
      <c r="AS46" s="9"/>
      <c r="AT46" s="9"/>
      <c r="AU46" s="9"/>
      <c r="AV46" s="9"/>
      <c r="AX46" s="9"/>
      <c r="AY46" s="9"/>
      <c r="AZ46" s="9"/>
      <c r="BA46" s="9"/>
      <c r="BB46" s="9"/>
      <c r="BC46" s="9"/>
      <c r="BD46" s="9"/>
      <c r="BF46" s="9"/>
      <c r="BG46" s="9"/>
      <c r="BH46" s="9"/>
      <c r="BI46" s="9"/>
      <c r="BJ46" s="9"/>
      <c r="BK46" s="9"/>
      <c r="BL46" s="9"/>
      <c r="BN46" s="9"/>
      <c r="BO46" s="9"/>
      <c r="BP46" s="9"/>
      <c r="BQ46" s="9"/>
      <c r="BR46" s="9"/>
      <c r="BS46" s="9"/>
      <c r="BT46" s="9"/>
      <c r="BV46" s="9"/>
      <c r="BW46" s="9"/>
      <c r="BX46" s="9"/>
      <c r="BY46" s="9"/>
      <c r="BZ46" s="9"/>
      <c r="CA46" s="9"/>
      <c r="CB46" s="9"/>
      <c r="CD46" s="9"/>
      <c r="CE46" s="9"/>
      <c r="CF46" s="9"/>
      <c r="CG46" s="9"/>
      <c r="CH46" s="9"/>
      <c r="CI46" s="9"/>
      <c r="CJ46" s="9"/>
    </row>
    <row r="47" spans="1:88" x14ac:dyDescent="0.3">
      <c r="B47" s="9"/>
      <c r="C47" s="9"/>
      <c r="D47" s="9"/>
      <c r="E47" s="9"/>
      <c r="F47" s="9"/>
      <c r="G47" s="9"/>
      <c r="H47" s="9"/>
      <c r="J47" s="9"/>
      <c r="K47" s="9"/>
      <c r="L47" s="9"/>
      <c r="M47" s="9"/>
      <c r="N47" s="9"/>
      <c r="O47" s="9"/>
      <c r="P47" s="9"/>
      <c r="R47" s="9"/>
      <c r="S47" s="9"/>
      <c r="T47" s="9"/>
      <c r="U47" s="9"/>
      <c r="V47" s="9"/>
      <c r="W47" s="9"/>
      <c r="X47" s="9"/>
      <c r="Z47" s="9"/>
      <c r="AA47" s="9"/>
      <c r="AB47" s="9"/>
      <c r="AC47" s="9"/>
      <c r="AD47" s="9"/>
      <c r="AE47" s="9"/>
      <c r="AF47" s="9"/>
      <c r="AH47" s="9"/>
      <c r="AI47" s="9"/>
      <c r="AJ47" s="9"/>
      <c r="AK47" s="9"/>
      <c r="AL47" s="9"/>
      <c r="AM47" s="9"/>
      <c r="AN47" s="9"/>
      <c r="AP47" s="9"/>
      <c r="AQ47" s="9"/>
      <c r="AR47" s="9"/>
      <c r="AS47" s="9"/>
      <c r="AT47" s="9"/>
      <c r="AU47" s="9"/>
      <c r="AV47" s="9"/>
      <c r="AX47" s="9"/>
      <c r="AY47" s="9"/>
      <c r="AZ47" s="9"/>
      <c r="BA47" s="9"/>
      <c r="BB47" s="9"/>
      <c r="BC47" s="9"/>
      <c r="BD47" s="9"/>
      <c r="BF47" s="9"/>
      <c r="BG47" s="9"/>
      <c r="BH47" s="9"/>
      <c r="BI47" s="9"/>
      <c r="BJ47" s="9"/>
      <c r="BK47" s="9"/>
      <c r="BL47" s="9"/>
      <c r="BN47" s="9"/>
      <c r="BO47" s="9"/>
      <c r="BP47" s="9"/>
      <c r="BQ47" s="9"/>
      <c r="BR47" s="9"/>
      <c r="BS47" s="9"/>
      <c r="BT47" s="9"/>
      <c r="BV47" s="9"/>
      <c r="BW47" s="9"/>
      <c r="BX47" s="9"/>
      <c r="BY47" s="9"/>
      <c r="BZ47" s="9"/>
      <c r="CA47" s="9"/>
      <c r="CB47" s="9"/>
      <c r="CD47" s="9"/>
      <c r="CE47" s="9"/>
      <c r="CF47" s="9"/>
      <c r="CG47" s="9"/>
      <c r="CH47" s="9"/>
      <c r="CI47" s="9"/>
      <c r="CJ47" s="9"/>
    </row>
    <row r="48" spans="1:88" x14ac:dyDescent="0.3">
      <c r="B48" s="9"/>
      <c r="C48" s="9"/>
      <c r="D48" s="9"/>
      <c r="E48" s="9"/>
      <c r="F48" s="9"/>
      <c r="G48" s="9"/>
      <c r="H48" s="9"/>
      <c r="J48" s="9"/>
      <c r="K48" s="9"/>
      <c r="L48" s="9"/>
      <c r="M48" s="9"/>
      <c r="N48" s="9"/>
      <c r="O48" s="9"/>
      <c r="P48" s="9"/>
      <c r="R48" s="9"/>
      <c r="S48" s="9"/>
      <c r="T48" s="9"/>
      <c r="U48" s="9"/>
      <c r="V48" s="9"/>
      <c r="W48" s="9"/>
      <c r="X48" s="9"/>
      <c r="Z48" s="9"/>
      <c r="AA48" s="9"/>
      <c r="AB48" s="9"/>
      <c r="AC48" s="9"/>
      <c r="AD48" s="9"/>
      <c r="AE48" s="9"/>
      <c r="AF48" s="9"/>
      <c r="AH48" s="9"/>
      <c r="AI48" s="9"/>
      <c r="AJ48" s="9"/>
      <c r="AK48" s="9"/>
      <c r="AL48" s="9"/>
      <c r="AM48" s="9"/>
      <c r="AN48" s="9"/>
      <c r="AP48" s="9"/>
      <c r="AQ48" s="9"/>
      <c r="AR48" s="9"/>
      <c r="AS48" s="9"/>
      <c r="AT48" s="9"/>
      <c r="AU48" s="9"/>
      <c r="AV48" s="9"/>
      <c r="AX48" s="9"/>
      <c r="AY48" s="9"/>
      <c r="AZ48" s="9"/>
      <c r="BA48" s="9"/>
      <c r="BB48" s="9"/>
      <c r="BC48" s="9"/>
      <c r="BD48" s="9"/>
      <c r="BF48" s="9"/>
      <c r="BG48" s="9"/>
      <c r="BH48" s="9"/>
      <c r="BI48" s="9"/>
      <c r="BJ48" s="9"/>
      <c r="BK48" s="9"/>
      <c r="BL48" s="9"/>
      <c r="BN48" s="9"/>
      <c r="BO48" s="9"/>
      <c r="BP48" s="9"/>
      <c r="BQ48" s="9"/>
      <c r="BR48" s="9"/>
      <c r="BS48" s="9"/>
      <c r="BT48" s="9"/>
      <c r="BV48" s="9"/>
      <c r="BW48" s="9"/>
      <c r="BX48" s="9"/>
      <c r="BY48" s="9"/>
      <c r="BZ48" s="9"/>
      <c r="CA48" s="9"/>
      <c r="CB48" s="9"/>
      <c r="CD48" s="9"/>
      <c r="CE48" s="9"/>
      <c r="CF48" s="9"/>
      <c r="CG48" s="9"/>
      <c r="CH48" s="9"/>
      <c r="CI48" s="9"/>
      <c r="CJ48" s="9"/>
    </row>
    <row r="49" spans="1:88" x14ac:dyDescent="0.3">
      <c r="B49" s="9"/>
      <c r="C49" s="9"/>
      <c r="D49" s="9"/>
      <c r="E49" s="9"/>
      <c r="F49" s="9"/>
      <c r="G49" s="9"/>
      <c r="H49" s="9"/>
      <c r="J49" s="9"/>
      <c r="K49" s="9"/>
      <c r="L49" s="9"/>
      <c r="M49" s="9"/>
      <c r="N49" s="9"/>
      <c r="O49" s="9"/>
      <c r="P49" s="9"/>
      <c r="R49" s="9"/>
      <c r="S49" s="9"/>
      <c r="T49" s="9"/>
      <c r="U49" s="9"/>
      <c r="V49" s="9"/>
      <c r="W49" s="9"/>
      <c r="X49" s="9"/>
      <c r="Z49" s="9"/>
      <c r="AA49" s="9"/>
      <c r="AB49" s="9"/>
      <c r="AC49" s="9"/>
      <c r="AD49" s="9"/>
      <c r="AE49" s="9"/>
      <c r="AF49" s="9"/>
      <c r="AH49" s="9"/>
      <c r="AI49" s="9"/>
      <c r="AJ49" s="9"/>
      <c r="AK49" s="9"/>
      <c r="AL49" s="9"/>
      <c r="AM49" s="9"/>
      <c r="AN49" s="9"/>
      <c r="AP49" s="9"/>
      <c r="AQ49" s="9"/>
      <c r="AR49" s="9"/>
      <c r="AS49" s="9"/>
      <c r="AT49" s="9"/>
      <c r="AU49" s="9"/>
      <c r="AV49" s="9"/>
      <c r="AX49" s="9"/>
      <c r="AY49" s="9"/>
      <c r="AZ49" s="9"/>
      <c r="BA49" s="9"/>
      <c r="BB49" s="9"/>
      <c r="BC49" s="9"/>
      <c r="BD49" s="9"/>
      <c r="BF49" s="9"/>
      <c r="BG49" s="9"/>
      <c r="BH49" s="9"/>
      <c r="BI49" s="9"/>
      <c r="BJ49" s="9"/>
      <c r="BK49" s="9"/>
      <c r="BL49" s="9"/>
      <c r="BN49" s="9"/>
      <c r="BO49" s="9"/>
      <c r="BP49" s="9"/>
      <c r="BQ49" s="9"/>
      <c r="BR49" s="9"/>
      <c r="BS49" s="9"/>
      <c r="BT49" s="9"/>
      <c r="BV49" s="9"/>
      <c r="BW49" s="9"/>
      <c r="BX49" s="9"/>
      <c r="BY49" s="9"/>
      <c r="BZ49" s="9"/>
      <c r="CA49" s="9"/>
      <c r="CB49" s="9"/>
      <c r="CD49" s="9"/>
      <c r="CE49" s="9"/>
      <c r="CF49" s="9"/>
      <c r="CG49" s="9"/>
      <c r="CH49" s="9"/>
      <c r="CI49" s="9"/>
      <c r="CJ49" s="9"/>
    </row>
    <row r="50" spans="1:88" x14ac:dyDescent="0.3">
      <c r="B50" s="5"/>
      <c r="C50" s="5"/>
      <c r="D50" s="5"/>
      <c r="E50" s="5"/>
      <c r="F50" s="5"/>
      <c r="G50" s="5"/>
      <c r="H50" s="5"/>
      <c r="J50" s="5"/>
      <c r="K50" s="5"/>
      <c r="L50" s="5"/>
      <c r="M50" s="5"/>
      <c r="N50" s="5"/>
      <c r="O50" s="5"/>
      <c r="P50" s="5"/>
      <c r="R50" s="5"/>
      <c r="S50" s="5"/>
      <c r="T50" s="5"/>
      <c r="U50" s="5"/>
      <c r="V50" s="5"/>
      <c r="W50" s="5"/>
      <c r="X50" s="5"/>
      <c r="Z50" s="5"/>
      <c r="AA50" s="5"/>
      <c r="AB50" s="5"/>
      <c r="AC50" s="5"/>
      <c r="AD50" s="5"/>
      <c r="AE50" s="5"/>
      <c r="AF50" s="5"/>
      <c r="AH50" s="5"/>
      <c r="AI50" s="5"/>
      <c r="AJ50" s="5"/>
      <c r="AK50" s="5"/>
      <c r="AL50" s="5"/>
      <c r="AM50" s="5"/>
      <c r="AN50" s="5"/>
      <c r="AP50" s="5"/>
      <c r="AQ50" s="5"/>
      <c r="AR50" s="5"/>
      <c r="AS50" s="5"/>
      <c r="AT50" s="5"/>
      <c r="AU50" s="5"/>
      <c r="AV50" s="5"/>
      <c r="AX50" s="5"/>
      <c r="AY50" s="5"/>
      <c r="AZ50" s="5"/>
      <c r="BA50" s="5"/>
      <c r="BB50" s="5"/>
      <c r="BC50" s="5"/>
      <c r="BD50" s="5"/>
      <c r="BF50" s="5"/>
      <c r="BG50" s="5"/>
      <c r="BH50" s="5"/>
      <c r="BI50" s="5"/>
      <c r="BJ50" s="5"/>
      <c r="BK50" s="5"/>
      <c r="BL50" s="5"/>
      <c r="BN50" s="5"/>
      <c r="BO50" s="5"/>
      <c r="BP50" s="5"/>
      <c r="BQ50" s="5"/>
      <c r="BR50" s="5"/>
      <c r="BS50" s="5"/>
      <c r="BT50" s="5"/>
      <c r="BV50" s="5"/>
      <c r="BW50" s="5"/>
      <c r="BX50" s="5"/>
      <c r="BY50" s="5"/>
      <c r="BZ50" s="5"/>
      <c r="CA50" s="5"/>
      <c r="CB50" s="5"/>
      <c r="CD50" s="5"/>
      <c r="CE50" s="5"/>
      <c r="CF50" s="5"/>
      <c r="CG50" s="5"/>
      <c r="CH50" s="5"/>
      <c r="CI50" s="5"/>
      <c r="CJ50" s="5"/>
    </row>
    <row r="51" spans="1:88" x14ac:dyDescent="0.3">
      <c r="A51" s="16" t="s">
        <v>48</v>
      </c>
      <c r="B51" s="9"/>
      <c r="C51" s="9"/>
      <c r="D51" s="9"/>
      <c r="E51" s="9"/>
      <c r="F51" s="9"/>
      <c r="G51" s="9"/>
      <c r="H51" s="9"/>
      <c r="J51" s="9"/>
      <c r="K51" s="9"/>
      <c r="L51" s="9"/>
      <c r="M51" s="9"/>
      <c r="N51" s="9"/>
      <c r="O51" s="9"/>
      <c r="P51" s="9"/>
      <c r="R51" s="9"/>
      <c r="S51" s="9"/>
      <c r="T51" s="9"/>
      <c r="U51" s="9"/>
      <c r="V51" s="9"/>
      <c r="W51" s="9"/>
      <c r="X51" s="9"/>
      <c r="Z51" s="9"/>
      <c r="AA51" s="9"/>
      <c r="AB51" s="9"/>
      <c r="AC51" s="9"/>
      <c r="AD51" s="9"/>
      <c r="AE51" s="9"/>
      <c r="AF51" s="9"/>
      <c r="AH51" s="9"/>
      <c r="AI51" s="9"/>
      <c r="AJ51" s="9"/>
      <c r="AK51" s="9"/>
      <c r="AL51" s="9"/>
      <c r="AM51" s="9"/>
      <c r="AN51" s="9"/>
      <c r="AP51" s="9"/>
      <c r="AQ51" s="9"/>
      <c r="AR51" s="9"/>
      <c r="AS51" s="9"/>
      <c r="AT51" s="9"/>
      <c r="AU51" s="9"/>
      <c r="AV51" s="9"/>
      <c r="AX51" s="9"/>
      <c r="AY51" s="9"/>
      <c r="AZ51" s="9"/>
      <c r="BA51" s="9"/>
      <c r="BB51" s="9"/>
      <c r="BC51" s="9"/>
      <c r="BD51" s="9"/>
      <c r="BF51" s="9"/>
      <c r="BG51" s="9"/>
      <c r="BH51" s="9"/>
      <c r="BI51" s="9"/>
      <c r="BJ51" s="9"/>
      <c r="BK51" s="9"/>
      <c r="BL51" s="9"/>
      <c r="BN51" s="9"/>
      <c r="BO51" s="9"/>
      <c r="BP51" s="9"/>
      <c r="BQ51" s="9"/>
      <c r="BR51" s="9"/>
      <c r="BS51" s="9"/>
      <c r="BT51" s="9"/>
      <c r="BV51" s="9"/>
      <c r="BW51" s="9"/>
      <c r="BX51" s="9"/>
      <c r="BY51" s="9"/>
      <c r="BZ51" s="9"/>
      <c r="CA51" s="9"/>
      <c r="CB51" s="9"/>
      <c r="CD51" s="9"/>
      <c r="CE51" s="9"/>
      <c r="CF51" s="9"/>
      <c r="CG51" s="9"/>
      <c r="CH51" s="9"/>
      <c r="CI51" s="9"/>
      <c r="CJ51" s="9"/>
    </row>
    <row r="52" spans="1:88" x14ac:dyDescent="0.3">
      <c r="B52" s="9"/>
      <c r="C52" s="9"/>
      <c r="D52" s="9"/>
      <c r="E52" s="9"/>
      <c r="F52" s="9"/>
      <c r="G52" s="9"/>
      <c r="H52" s="9"/>
      <c r="J52" s="9"/>
      <c r="K52" s="9"/>
      <c r="L52" s="9"/>
      <c r="M52" s="9"/>
      <c r="N52" s="9"/>
      <c r="O52" s="9"/>
      <c r="P52" s="9"/>
      <c r="R52" s="9"/>
      <c r="S52" s="9"/>
      <c r="T52" s="9"/>
      <c r="U52" s="9"/>
      <c r="V52" s="9"/>
      <c r="W52" s="9"/>
      <c r="X52" s="9"/>
      <c r="Z52" s="9"/>
      <c r="AA52" s="9"/>
      <c r="AB52" s="9"/>
      <c r="AC52" s="9"/>
      <c r="AD52" s="9"/>
      <c r="AE52" s="9"/>
      <c r="AF52" s="9"/>
      <c r="AH52" s="9"/>
      <c r="AI52" s="9"/>
      <c r="AJ52" s="9"/>
      <c r="AK52" s="9"/>
      <c r="AL52" s="9"/>
      <c r="AM52" s="9"/>
      <c r="AN52" s="9"/>
      <c r="AP52" s="9"/>
      <c r="AQ52" s="9"/>
      <c r="AR52" s="9"/>
      <c r="AS52" s="9"/>
      <c r="AT52" s="9"/>
      <c r="AU52" s="9"/>
      <c r="AV52" s="9"/>
      <c r="AX52" s="9"/>
      <c r="AY52" s="9"/>
      <c r="AZ52" s="9"/>
      <c r="BA52" s="9"/>
      <c r="BB52" s="9"/>
      <c r="BC52" s="9"/>
      <c r="BD52" s="9"/>
      <c r="BF52" s="9"/>
      <c r="BG52" s="9"/>
      <c r="BH52" s="9"/>
      <c r="BI52" s="9"/>
      <c r="BJ52" s="9"/>
      <c r="BK52" s="9"/>
      <c r="BL52" s="9"/>
      <c r="BN52" s="9"/>
      <c r="BO52" s="9"/>
      <c r="BP52" s="9"/>
      <c r="BQ52" s="9"/>
      <c r="BR52" s="9"/>
      <c r="BS52" s="9"/>
      <c r="BT52" s="9"/>
      <c r="BV52" s="9"/>
      <c r="BW52" s="9"/>
      <c r="BX52" s="9"/>
      <c r="BY52" s="9"/>
      <c r="BZ52" s="9"/>
      <c r="CA52" s="9"/>
      <c r="CB52" s="9"/>
      <c r="CD52" s="9"/>
      <c r="CE52" s="9"/>
      <c r="CF52" s="9"/>
      <c r="CG52" s="9"/>
      <c r="CH52" s="9"/>
      <c r="CI52" s="9"/>
      <c r="CJ52" s="9"/>
    </row>
    <row r="53" spans="1:88" x14ac:dyDescent="0.3">
      <c r="B53" s="9"/>
      <c r="C53" s="9"/>
      <c r="D53" s="9"/>
      <c r="E53" s="9"/>
      <c r="F53" s="9"/>
      <c r="G53" s="9"/>
      <c r="H53" s="9"/>
      <c r="J53" s="9"/>
      <c r="K53" s="9"/>
      <c r="L53" s="9"/>
      <c r="M53" s="9"/>
      <c r="N53" s="9"/>
      <c r="O53" s="9"/>
      <c r="P53" s="9"/>
      <c r="R53" s="9"/>
      <c r="S53" s="9"/>
      <c r="T53" s="9"/>
      <c r="U53" s="9"/>
      <c r="V53" s="9"/>
      <c r="W53" s="9"/>
      <c r="X53" s="9"/>
      <c r="Z53" s="9"/>
      <c r="AA53" s="9"/>
      <c r="AB53" s="9"/>
      <c r="AC53" s="9"/>
      <c r="AD53" s="9"/>
      <c r="AE53" s="9"/>
      <c r="AF53" s="9"/>
      <c r="AH53" s="9"/>
      <c r="AI53" s="9"/>
      <c r="AJ53" s="9"/>
      <c r="AK53" s="9"/>
      <c r="AL53" s="9"/>
      <c r="AM53" s="9"/>
      <c r="AN53" s="9"/>
      <c r="AP53" s="9"/>
      <c r="AQ53" s="9"/>
      <c r="AR53" s="9"/>
      <c r="AS53" s="9"/>
      <c r="AT53" s="9"/>
      <c r="AU53" s="9"/>
      <c r="AV53" s="9"/>
      <c r="AX53" s="9"/>
      <c r="AY53" s="9"/>
      <c r="AZ53" s="9"/>
      <c r="BA53" s="9"/>
      <c r="BB53" s="9"/>
      <c r="BC53" s="9"/>
      <c r="BD53" s="9"/>
      <c r="BF53" s="9"/>
      <c r="BG53" s="9"/>
      <c r="BH53" s="9"/>
      <c r="BI53" s="9"/>
      <c r="BJ53" s="9"/>
      <c r="BK53" s="9"/>
      <c r="BL53" s="9"/>
      <c r="BN53" s="9"/>
      <c r="BO53" s="9"/>
      <c r="BP53" s="9"/>
      <c r="BQ53" s="9"/>
      <c r="BR53" s="9"/>
      <c r="BS53" s="9"/>
      <c r="BT53" s="9"/>
      <c r="BV53" s="9"/>
      <c r="BW53" s="9"/>
      <c r="BX53" s="9"/>
      <c r="BY53" s="9"/>
      <c r="BZ53" s="9"/>
      <c r="CA53" s="9"/>
      <c r="CB53" s="9"/>
      <c r="CD53" s="9"/>
      <c r="CE53" s="9"/>
      <c r="CF53" s="9"/>
      <c r="CG53" s="9"/>
      <c r="CH53" s="9"/>
      <c r="CI53" s="9"/>
      <c r="CJ53" s="9"/>
    </row>
    <row r="54" spans="1:88" x14ac:dyDescent="0.3">
      <c r="B54" s="9"/>
      <c r="C54" s="9"/>
      <c r="D54" s="9"/>
      <c r="E54" s="9"/>
      <c r="F54" s="9"/>
      <c r="G54" s="9"/>
      <c r="H54" s="9"/>
      <c r="J54" s="9"/>
      <c r="K54" s="9"/>
      <c r="L54" s="9"/>
      <c r="M54" s="9"/>
      <c r="N54" s="9"/>
      <c r="O54" s="9"/>
      <c r="P54" s="9"/>
      <c r="R54" s="9"/>
      <c r="S54" s="9"/>
      <c r="T54" s="9"/>
      <c r="U54" s="9"/>
      <c r="V54" s="9"/>
      <c r="W54" s="9"/>
      <c r="X54" s="9"/>
      <c r="Z54" s="9"/>
      <c r="AA54" s="9"/>
      <c r="AB54" s="9"/>
      <c r="AC54" s="9"/>
      <c r="AD54" s="9"/>
      <c r="AE54" s="9"/>
      <c r="AF54" s="9"/>
      <c r="AH54" s="9"/>
      <c r="AI54" s="9"/>
      <c r="AJ54" s="9"/>
      <c r="AK54" s="9"/>
      <c r="AL54" s="9"/>
      <c r="AM54" s="9"/>
      <c r="AN54" s="9"/>
      <c r="AP54" s="9"/>
      <c r="AQ54" s="9"/>
      <c r="AR54" s="9"/>
      <c r="AS54" s="9"/>
      <c r="AT54" s="9"/>
      <c r="AU54" s="9"/>
      <c r="AV54" s="9"/>
      <c r="AX54" s="9"/>
      <c r="AY54" s="9"/>
      <c r="AZ54" s="9"/>
      <c r="BA54" s="9"/>
      <c r="BB54" s="9"/>
      <c r="BC54" s="9"/>
      <c r="BD54" s="9"/>
      <c r="BF54" s="9"/>
      <c r="BG54" s="9"/>
      <c r="BH54" s="9"/>
      <c r="BI54" s="9"/>
      <c r="BJ54" s="9"/>
      <c r="BK54" s="9"/>
      <c r="BL54" s="9"/>
      <c r="BN54" s="9"/>
      <c r="BO54" s="9"/>
      <c r="BP54" s="9"/>
      <c r="BQ54" s="9"/>
      <c r="BR54" s="9"/>
      <c r="BS54" s="9"/>
      <c r="BT54" s="9"/>
      <c r="BV54" s="9"/>
      <c r="BW54" s="9"/>
      <c r="BX54" s="9"/>
      <c r="BY54" s="9"/>
      <c r="BZ54" s="9"/>
      <c r="CA54" s="9"/>
      <c r="CB54" s="9"/>
      <c r="CD54" s="9"/>
      <c r="CE54" s="9"/>
      <c r="CF54" s="9"/>
      <c r="CG54" s="9"/>
      <c r="CH54" s="9"/>
      <c r="CI54" s="9"/>
      <c r="CJ54" s="9"/>
    </row>
    <row r="55" spans="1:88" x14ac:dyDescent="0.3">
      <c r="B55" s="9"/>
      <c r="C55" s="9"/>
      <c r="D55" s="9"/>
      <c r="E55" s="9"/>
      <c r="F55" s="9"/>
      <c r="G55" s="9"/>
      <c r="H55" s="9"/>
      <c r="J55" s="9"/>
      <c r="K55" s="9"/>
      <c r="L55" s="9"/>
      <c r="M55" s="9"/>
      <c r="N55" s="9"/>
      <c r="O55" s="9"/>
      <c r="P55" s="9"/>
      <c r="R55" s="9"/>
      <c r="S55" s="9"/>
      <c r="T55" s="9"/>
      <c r="U55" s="9"/>
      <c r="V55" s="9"/>
      <c r="W55" s="9"/>
      <c r="X55" s="9"/>
      <c r="Z55" s="9"/>
      <c r="AA55" s="9"/>
      <c r="AB55" s="9"/>
      <c r="AC55" s="9"/>
      <c r="AD55" s="9"/>
      <c r="AE55" s="9"/>
      <c r="AF55" s="9"/>
      <c r="AH55" s="9"/>
      <c r="AI55" s="9"/>
      <c r="AJ55" s="9"/>
      <c r="AK55" s="9"/>
      <c r="AL55" s="9"/>
      <c r="AM55" s="9"/>
      <c r="AN55" s="9"/>
      <c r="AP55" s="9"/>
      <c r="AQ55" s="9"/>
      <c r="AR55" s="9"/>
      <c r="AS55" s="9"/>
      <c r="AT55" s="9"/>
      <c r="AU55" s="9"/>
      <c r="AV55" s="9"/>
      <c r="AX55" s="9"/>
      <c r="AY55" s="9"/>
      <c r="AZ55" s="9"/>
      <c r="BA55" s="9"/>
      <c r="BB55" s="9"/>
      <c r="BC55" s="9"/>
      <c r="BD55" s="9"/>
      <c r="BF55" s="9"/>
      <c r="BG55" s="9"/>
      <c r="BH55" s="9"/>
      <c r="BI55" s="9"/>
      <c r="BJ55" s="9"/>
      <c r="BK55" s="9"/>
      <c r="BL55" s="9"/>
      <c r="BN55" s="9"/>
      <c r="BO55" s="9"/>
      <c r="BP55" s="9"/>
      <c r="BQ55" s="9"/>
      <c r="BR55" s="9"/>
      <c r="BS55" s="9"/>
      <c r="BT55" s="9"/>
      <c r="BV55" s="9"/>
      <c r="BW55" s="9"/>
      <c r="BX55" s="9"/>
      <c r="BY55" s="9"/>
      <c r="BZ55" s="9"/>
      <c r="CA55" s="9"/>
      <c r="CB55" s="9"/>
      <c r="CD55" s="9"/>
      <c r="CE55" s="9"/>
      <c r="CF55" s="9"/>
      <c r="CG55" s="9"/>
      <c r="CH55" s="9"/>
      <c r="CI55" s="9"/>
      <c r="CJ55" s="9"/>
    </row>
    <row r="56" spans="1:88" x14ac:dyDescent="0.3">
      <c r="B56" s="9"/>
      <c r="C56" s="9"/>
      <c r="D56" s="9"/>
      <c r="E56" s="9"/>
      <c r="F56" s="9"/>
      <c r="G56" s="9"/>
      <c r="H56" s="9"/>
      <c r="J56" s="9"/>
      <c r="K56" s="9"/>
      <c r="L56" s="9"/>
      <c r="M56" s="9"/>
      <c r="N56" s="9"/>
      <c r="O56" s="9"/>
      <c r="P56" s="9"/>
      <c r="R56" s="9"/>
      <c r="S56" s="9"/>
      <c r="T56" s="9"/>
      <c r="U56" s="9"/>
      <c r="V56" s="9"/>
      <c r="W56" s="9"/>
      <c r="X56" s="9"/>
      <c r="Z56" s="9"/>
      <c r="AA56" s="9"/>
      <c r="AB56" s="9"/>
      <c r="AC56" s="9"/>
      <c r="AD56" s="9"/>
      <c r="AE56" s="9"/>
      <c r="AF56" s="9"/>
      <c r="AH56" s="9"/>
      <c r="AI56" s="9"/>
      <c r="AJ56" s="9"/>
      <c r="AK56" s="9"/>
      <c r="AL56" s="9"/>
      <c r="AM56" s="9"/>
      <c r="AN56" s="9"/>
      <c r="AP56" s="9"/>
      <c r="AQ56" s="9"/>
      <c r="AR56" s="9"/>
      <c r="AS56" s="9"/>
      <c r="AT56" s="9"/>
      <c r="AU56" s="9"/>
      <c r="AV56" s="9"/>
      <c r="AX56" s="9"/>
      <c r="AY56" s="9"/>
      <c r="AZ56" s="9"/>
      <c r="BA56" s="9"/>
      <c r="BB56" s="9"/>
      <c r="BC56" s="9"/>
      <c r="BD56" s="9"/>
      <c r="BF56" s="9"/>
      <c r="BG56" s="9"/>
      <c r="BH56" s="9"/>
      <c r="BI56" s="9"/>
      <c r="BJ56" s="9"/>
      <c r="BK56" s="9"/>
      <c r="BL56" s="9"/>
      <c r="BN56" s="9"/>
      <c r="BO56" s="9"/>
      <c r="BP56" s="9"/>
      <c r="BQ56" s="9"/>
      <c r="BR56" s="9"/>
      <c r="BS56" s="9"/>
      <c r="BT56" s="9"/>
      <c r="BV56" s="9"/>
      <c r="BW56" s="9"/>
      <c r="BX56" s="9"/>
      <c r="BY56" s="9"/>
      <c r="BZ56" s="9"/>
      <c r="CA56" s="9"/>
      <c r="CB56" s="9"/>
      <c r="CD56" s="9"/>
      <c r="CE56" s="9"/>
      <c r="CF56" s="9"/>
      <c r="CG56" s="9"/>
      <c r="CH56" s="9"/>
      <c r="CI56" s="9"/>
      <c r="CJ56" s="9"/>
    </row>
    <row r="57" spans="1:88" x14ac:dyDescent="0.3">
      <c r="B57" s="9"/>
      <c r="C57" s="9"/>
      <c r="D57" s="9"/>
      <c r="E57" s="9"/>
      <c r="F57" s="9"/>
      <c r="G57" s="9"/>
      <c r="H57" s="9"/>
      <c r="J57" s="9"/>
      <c r="K57" s="9"/>
      <c r="L57" s="9"/>
      <c r="M57" s="9"/>
      <c r="N57" s="9"/>
      <c r="O57" s="9"/>
      <c r="P57" s="9"/>
      <c r="R57" s="9"/>
      <c r="S57" s="9"/>
      <c r="T57" s="9"/>
      <c r="U57" s="9"/>
      <c r="V57" s="9"/>
      <c r="W57" s="9"/>
      <c r="X57" s="9"/>
      <c r="Z57" s="9"/>
      <c r="AA57" s="9"/>
      <c r="AB57" s="9"/>
      <c r="AC57" s="9"/>
      <c r="AD57" s="9"/>
      <c r="AE57" s="9"/>
      <c r="AF57" s="9"/>
      <c r="AH57" s="9"/>
      <c r="AI57" s="9"/>
      <c r="AJ57" s="9"/>
      <c r="AK57" s="9"/>
      <c r="AL57" s="9"/>
      <c r="AM57" s="9"/>
      <c r="AN57" s="9"/>
      <c r="AP57" s="9"/>
      <c r="AQ57" s="9"/>
      <c r="AR57" s="9"/>
      <c r="AS57" s="9"/>
      <c r="AT57" s="9"/>
      <c r="AU57" s="9"/>
      <c r="AV57" s="9"/>
      <c r="AX57" s="9"/>
      <c r="AY57" s="9"/>
      <c r="AZ57" s="9"/>
      <c r="BA57" s="9"/>
      <c r="BB57" s="9"/>
      <c r="BC57" s="9"/>
      <c r="BD57" s="9"/>
      <c r="BF57" s="9"/>
      <c r="BG57" s="9"/>
      <c r="BH57" s="9"/>
      <c r="BI57" s="9"/>
      <c r="BJ57" s="9"/>
      <c r="BK57" s="9"/>
      <c r="BL57" s="9"/>
      <c r="BN57" s="9"/>
      <c r="BO57" s="9"/>
      <c r="BP57" s="9"/>
      <c r="BQ57" s="9"/>
      <c r="BR57" s="9"/>
      <c r="BS57" s="9"/>
      <c r="BT57" s="9"/>
      <c r="BV57" s="9"/>
      <c r="BW57" s="9"/>
      <c r="BX57" s="9"/>
      <c r="BY57" s="9"/>
      <c r="BZ57" s="9"/>
      <c r="CA57" s="9"/>
      <c r="CB57" s="9"/>
      <c r="CD57" s="9"/>
      <c r="CE57" s="9"/>
      <c r="CF57" s="9"/>
      <c r="CG57" s="9"/>
      <c r="CH57" s="9"/>
      <c r="CI57" s="9"/>
      <c r="CJ57" s="9"/>
    </row>
    <row r="58" spans="1:88" x14ac:dyDescent="0.3">
      <c r="B58" s="9"/>
      <c r="C58" s="9"/>
      <c r="D58" s="9"/>
      <c r="E58" s="9"/>
      <c r="F58" s="9"/>
      <c r="G58" s="9"/>
      <c r="H58" s="9"/>
      <c r="J58" s="9"/>
      <c r="K58" s="9"/>
      <c r="L58" s="9"/>
      <c r="M58" s="9"/>
      <c r="N58" s="9"/>
      <c r="O58" s="9"/>
      <c r="P58" s="9"/>
      <c r="R58" s="9"/>
      <c r="S58" s="9"/>
      <c r="T58" s="9"/>
      <c r="U58" s="9"/>
      <c r="V58" s="9"/>
      <c r="W58" s="9"/>
      <c r="X58" s="9"/>
      <c r="Z58" s="9"/>
      <c r="AA58" s="9"/>
      <c r="AB58" s="9"/>
      <c r="AC58" s="9"/>
      <c r="AD58" s="9"/>
      <c r="AE58" s="9"/>
      <c r="AF58" s="9"/>
      <c r="AH58" s="9"/>
      <c r="AI58" s="9"/>
      <c r="AJ58" s="9"/>
      <c r="AK58" s="9"/>
      <c r="AL58" s="9"/>
      <c r="AM58" s="9"/>
      <c r="AN58" s="9"/>
      <c r="AP58" s="9"/>
      <c r="AQ58" s="9"/>
      <c r="AR58" s="9"/>
      <c r="AS58" s="9"/>
      <c r="AT58" s="9"/>
      <c r="AU58" s="9"/>
      <c r="AV58" s="9"/>
      <c r="AX58" s="9"/>
      <c r="AY58" s="9"/>
      <c r="AZ58" s="9"/>
      <c r="BA58" s="9"/>
      <c r="BB58" s="9"/>
      <c r="BC58" s="9"/>
      <c r="BD58" s="9"/>
      <c r="BF58" s="9"/>
      <c r="BG58" s="9"/>
      <c r="BH58" s="9"/>
      <c r="BI58" s="9"/>
      <c r="BJ58" s="9"/>
      <c r="BK58" s="9"/>
      <c r="BL58" s="9"/>
      <c r="BN58" s="9"/>
      <c r="BO58" s="9"/>
      <c r="BP58" s="9"/>
      <c r="BQ58" s="9"/>
      <c r="BR58" s="9"/>
      <c r="BS58" s="9"/>
      <c r="BT58" s="9"/>
      <c r="BV58" s="9"/>
      <c r="BW58" s="9"/>
      <c r="BX58" s="9"/>
      <c r="BY58" s="9"/>
      <c r="BZ58" s="9"/>
      <c r="CA58" s="9"/>
      <c r="CB58" s="9"/>
      <c r="CD58" s="9"/>
      <c r="CE58" s="9"/>
      <c r="CF58" s="9"/>
      <c r="CG58" s="9"/>
      <c r="CH58" s="9"/>
      <c r="CI58" s="9"/>
      <c r="CJ58" s="9"/>
    </row>
    <row r="59" spans="1:88" x14ac:dyDescent="0.3">
      <c r="B59" s="9"/>
      <c r="C59" s="9"/>
      <c r="D59" s="9"/>
      <c r="E59" s="9"/>
      <c r="F59" s="9"/>
      <c r="G59" s="9"/>
      <c r="H59" s="9"/>
      <c r="J59" s="9"/>
      <c r="K59" s="9"/>
      <c r="L59" s="9"/>
      <c r="M59" s="9"/>
      <c r="N59" s="9"/>
      <c r="O59" s="9"/>
      <c r="P59" s="9"/>
      <c r="R59" s="9"/>
      <c r="S59" s="9"/>
      <c r="T59" s="9"/>
      <c r="U59" s="9"/>
      <c r="V59" s="9"/>
      <c r="W59" s="9"/>
      <c r="X59" s="9"/>
      <c r="Z59" s="9"/>
      <c r="AA59" s="9"/>
      <c r="AB59" s="9"/>
      <c r="AC59" s="9"/>
      <c r="AD59" s="9"/>
      <c r="AE59" s="9"/>
      <c r="AF59" s="9"/>
      <c r="AH59" s="9"/>
      <c r="AI59" s="9"/>
      <c r="AJ59" s="9"/>
      <c r="AK59" s="9"/>
      <c r="AL59" s="9"/>
      <c r="AM59" s="9"/>
      <c r="AN59" s="9"/>
      <c r="AP59" s="9"/>
      <c r="AQ59" s="9"/>
      <c r="AR59" s="9"/>
      <c r="AS59" s="9"/>
      <c r="AT59" s="9"/>
      <c r="AU59" s="9"/>
      <c r="AV59" s="9"/>
      <c r="AX59" s="9"/>
      <c r="AY59" s="9"/>
      <c r="AZ59" s="9"/>
      <c r="BA59" s="9"/>
      <c r="BB59" s="9"/>
      <c r="BC59" s="9"/>
      <c r="BD59" s="9"/>
      <c r="BF59" s="9"/>
      <c r="BG59" s="9"/>
      <c r="BH59" s="9"/>
      <c r="BI59" s="9"/>
      <c r="BJ59" s="9"/>
      <c r="BK59" s="9"/>
      <c r="BL59" s="9"/>
      <c r="BN59" s="9"/>
      <c r="BO59" s="9"/>
      <c r="BP59" s="9"/>
      <c r="BQ59" s="9"/>
      <c r="BR59" s="9"/>
      <c r="BS59" s="9"/>
      <c r="BT59" s="9"/>
      <c r="BV59" s="9"/>
      <c r="BW59" s="9"/>
      <c r="BX59" s="9"/>
      <c r="BY59" s="9"/>
      <c r="BZ59" s="9"/>
      <c r="CA59" s="9"/>
      <c r="CB59" s="9"/>
      <c r="CD59" s="9"/>
      <c r="CE59" s="9"/>
      <c r="CF59" s="9"/>
      <c r="CG59" s="9"/>
      <c r="CH59" s="9"/>
      <c r="CI59" s="9"/>
      <c r="CJ59" s="9"/>
    </row>
    <row r="60" spans="1:88" x14ac:dyDescent="0.3">
      <c r="B60" s="9"/>
      <c r="C60" s="9"/>
      <c r="D60" s="9"/>
      <c r="E60" s="9"/>
      <c r="F60" s="9"/>
      <c r="G60" s="9"/>
      <c r="H60" s="9"/>
      <c r="J60" s="9"/>
      <c r="K60" s="9"/>
      <c r="L60" s="9"/>
      <c r="M60" s="9"/>
      <c r="N60" s="9"/>
      <c r="O60" s="9"/>
      <c r="P60" s="9"/>
      <c r="R60" s="9"/>
      <c r="S60" s="9"/>
      <c r="T60" s="9"/>
      <c r="U60" s="9"/>
      <c r="V60" s="9"/>
      <c r="W60" s="9"/>
      <c r="X60" s="9"/>
      <c r="Z60" s="9"/>
      <c r="AA60" s="9"/>
      <c r="AB60" s="9"/>
      <c r="AC60" s="9"/>
      <c r="AD60" s="9"/>
      <c r="AE60" s="9"/>
      <c r="AF60" s="9"/>
      <c r="AH60" s="9"/>
      <c r="AI60" s="9"/>
      <c r="AJ60" s="9"/>
      <c r="AK60" s="9"/>
      <c r="AL60" s="9"/>
      <c r="AM60" s="9"/>
      <c r="AN60" s="9"/>
      <c r="AP60" s="9"/>
      <c r="AQ60" s="9"/>
      <c r="AR60" s="9"/>
      <c r="AS60" s="9"/>
      <c r="AT60" s="9"/>
      <c r="AU60" s="9"/>
      <c r="AV60" s="9"/>
      <c r="AX60" s="9"/>
      <c r="AY60" s="9"/>
      <c r="AZ60" s="9"/>
      <c r="BA60" s="9"/>
      <c r="BB60" s="9"/>
      <c r="BC60" s="9"/>
      <c r="BD60" s="9"/>
      <c r="BF60" s="9"/>
      <c r="BG60" s="9"/>
      <c r="BH60" s="9"/>
      <c r="BI60" s="9"/>
      <c r="BJ60" s="9"/>
      <c r="BK60" s="9"/>
      <c r="BL60" s="9"/>
      <c r="BN60" s="9"/>
      <c r="BO60" s="9"/>
      <c r="BP60" s="9"/>
      <c r="BQ60" s="9"/>
      <c r="BR60" s="9"/>
      <c r="BS60" s="9"/>
      <c r="BT60" s="9"/>
      <c r="BV60" s="9"/>
      <c r="BW60" s="9"/>
      <c r="BX60" s="9"/>
      <c r="BY60" s="9"/>
      <c r="BZ60" s="9"/>
      <c r="CA60" s="9"/>
      <c r="CB60" s="9"/>
      <c r="CD60" s="9"/>
      <c r="CE60" s="9"/>
      <c r="CF60" s="9"/>
      <c r="CG60" s="9"/>
      <c r="CH60" s="9"/>
      <c r="CI60" s="9"/>
      <c r="CJ60" s="9"/>
    </row>
    <row r="61" spans="1:88" x14ac:dyDescent="0.3">
      <c r="B61" s="9"/>
      <c r="C61" s="9"/>
      <c r="D61" s="9"/>
      <c r="E61" s="9"/>
      <c r="F61" s="9"/>
      <c r="G61" s="9"/>
      <c r="H61" s="9"/>
      <c r="J61" s="9"/>
      <c r="K61" s="9"/>
      <c r="L61" s="9"/>
      <c r="M61" s="9"/>
      <c r="N61" s="9"/>
      <c r="O61" s="9"/>
      <c r="P61" s="9"/>
      <c r="R61" s="9"/>
      <c r="S61" s="9"/>
      <c r="T61" s="9"/>
      <c r="U61" s="9"/>
      <c r="V61" s="9"/>
      <c r="W61" s="9"/>
      <c r="X61" s="9"/>
      <c r="Z61" s="9"/>
      <c r="AA61" s="9"/>
      <c r="AB61" s="9"/>
      <c r="AC61" s="9"/>
      <c r="AD61" s="9"/>
      <c r="AE61" s="9"/>
      <c r="AF61" s="9"/>
      <c r="AH61" s="9"/>
      <c r="AI61" s="9"/>
      <c r="AJ61" s="9"/>
      <c r="AK61" s="9"/>
      <c r="AL61" s="9"/>
      <c r="AM61" s="9"/>
      <c r="AN61" s="9"/>
      <c r="AP61" s="9"/>
      <c r="AQ61" s="9"/>
      <c r="AR61" s="9"/>
      <c r="AS61" s="9"/>
      <c r="AT61" s="9"/>
      <c r="AU61" s="9"/>
      <c r="AV61" s="9"/>
      <c r="AX61" s="9"/>
      <c r="AY61" s="9"/>
      <c r="AZ61" s="9"/>
      <c r="BA61" s="9"/>
      <c r="BB61" s="9"/>
      <c r="BC61" s="9"/>
      <c r="BD61" s="9"/>
      <c r="BF61" s="9"/>
      <c r="BG61" s="9"/>
      <c r="BH61" s="9"/>
      <c r="BI61" s="9"/>
      <c r="BJ61" s="9"/>
      <c r="BK61" s="9"/>
      <c r="BL61" s="9"/>
      <c r="BN61" s="9"/>
      <c r="BO61" s="9"/>
      <c r="BP61" s="9"/>
      <c r="BQ61" s="9"/>
      <c r="BR61" s="9"/>
      <c r="BS61" s="9"/>
      <c r="BT61" s="9"/>
      <c r="BV61" s="9"/>
      <c r="BW61" s="9"/>
      <c r="BX61" s="9"/>
      <c r="BY61" s="9"/>
      <c r="BZ61" s="9"/>
      <c r="CA61" s="9"/>
      <c r="CB61" s="9"/>
      <c r="CD61" s="9"/>
      <c r="CE61" s="9"/>
      <c r="CF61" s="9"/>
      <c r="CG61" s="9"/>
      <c r="CH61" s="9"/>
      <c r="CI61" s="9"/>
      <c r="CJ61" s="9"/>
    </row>
    <row r="63" spans="1:88" x14ac:dyDescent="0.3">
      <c r="B63" s="17" t="s">
        <v>49</v>
      </c>
    </row>
  </sheetData>
  <mergeCells count="11">
    <mergeCell ref="CD1:CJ1"/>
    <mergeCell ref="AP1:AV1"/>
    <mergeCell ref="AX1:BD1"/>
    <mergeCell ref="BF1:BL1"/>
    <mergeCell ref="BN1:BT1"/>
    <mergeCell ref="BV1:CB1"/>
    <mergeCell ref="B1:H1"/>
    <mergeCell ref="J1:P1"/>
    <mergeCell ref="R1:X1"/>
    <mergeCell ref="Z1:AF1"/>
    <mergeCell ref="AH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2FAB-5BD9-4707-BACF-21629229A8D0}">
  <dimension ref="A1:CJ63"/>
  <sheetViews>
    <sheetView topLeftCell="AJ1" workbookViewId="0">
      <selection activeCell="AP3" sqref="AP3:AW63"/>
    </sheetView>
  </sheetViews>
  <sheetFormatPr baseColWidth="10" defaultRowHeight="14.4" x14ac:dyDescent="0.3"/>
  <sheetData>
    <row r="1" spans="1:88" x14ac:dyDescent="0.3">
      <c r="B1" s="24" t="s">
        <v>50</v>
      </c>
      <c r="C1" s="24"/>
      <c r="D1" s="24"/>
      <c r="E1" s="24"/>
      <c r="F1" s="24"/>
      <c r="G1" s="24"/>
      <c r="H1" s="24"/>
      <c r="J1" s="24" t="s">
        <v>51</v>
      </c>
      <c r="K1" s="24"/>
      <c r="L1" s="24"/>
      <c r="M1" s="24"/>
      <c r="N1" s="24"/>
      <c r="O1" s="24"/>
      <c r="P1" s="24"/>
      <c r="R1" s="24" t="s">
        <v>52</v>
      </c>
      <c r="S1" s="24"/>
      <c r="T1" s="24"/>
      <c r="U1" s="24"/>
      <c r="V1" s="24"/>
      <c r="W1" s="24"/>
      <c r="X1" s="24"/>
      <c r="Z1" s="24" t="s">
        <v>53</v>
      </c>
      <c r="AA1" s="24"/>
      <c r="AB1" s="24"/>
      <c r="AC1" s="24"/>
      <c r="AD1" s="24"/>
      <c r="AE1" s="24"/>
      <c r="AF1" s="24"/>
      <c r="AH1" s="24" t="s">
        <v>54</v>
      </c>
      <c r="AI1" s="24"/>
      <c r="AJ1" s="24"/>
      <c r="AK1" s="24"/>
      <c r="AL1" s="24"/>
      <c r="AM1" s="24"/>
      <c r="AN1" s="24"/>
      <c r="AP1" s="24" t="s">
        <v>55</v>
      </c>
      <c r="AQ1" s="24"/>
      <c r="AR1" s="24"/>
      <c r="AS1" s="24"/>
      <c r="AT1" s="24"/>
      <c r="AU1" s="24"/>
      <c r="AV1" s="24"/>
      <c r="AX1" s="24" t="s">
        <v>56</v>
      </c>
      <c r="AY1" s="24"/>
      <c r="AZ1" s="24"/>
      <c r="BA1" s="24"/>
      <c r="BB1" s="24"/>
      <c r="BC1" s="24"/>
      <c r="BD1" s="24"/>
      <c r="BF1" s="24" t="s">
        <v>57</v>
      </c>
      <c r="BG1" s="24"/>
      <c r="BH1" s="24"/>
      <c r="BI1" s="24"/>
      <c r="BJ1" s="24"/>
      <c r="BK1" s="24"/>
      <c r="BL1" s="24"/>
      <c r="BN1" s="24" t="s">
        <v>58</v>
      </c>
      <c r="BO1" s="24"/>
      <c r="BP1" s="24"/>
      <c r="BQ1" s="24"/>
      <c r="BR1" s="24"/>
      <c r="BS1" s="24"/>
      <c r="BT1" s="24"/>
      <c r="BV1" s="24" t="s">
        <v>59</v>
      </c>
      <c r="BW1" s="24"/>
      <c r="BX1" s="24"/>
      <c r="BY1" s="24"/>
      <c r="BZ1" s="24"/>
      <c r="CA1" s="24"/>
      <c r="CB1" s="24"/>
      <c r="CD1" s="24" t="s">
        <v>60</v>
      </c>
      <c r="CE1" s="24"/>
      <c r="CF1" s="24"/>
      <c r="CG1" s="24"/>
      <c r="CH1" s="24"/>
      <c r="CI1" s="24"/>
      <c r="CJ1" s="24"/>
    </row>
    <row r="2" spans="1:88" x14ac:dyDescent="0.3">
      <c r="B2" s="1" t="s">
        <v>33</v>
      </c>
      <c r="C2" s="1" t="s">
        <v>1</v>
      </c>
      <c r="D2" s="1" t="s">
        <v>21</v>
      </c>
      <c r="E2" s="1" t="s">
        <v>22</v>
      </c>
      <c r="F2" s="1" t="s">
        <v>2</v>
      </c>
      <c r="G2" s="1" t="s">
        <v>23</v>
      </c>
      <c r="H2" s="1" t="s">
        <v>24</v>
      </c>
      <c r="J2" s="1" t="s">
        <v>33</v>
      </c>
      <c r="K2" s="1" t="s">
        <v>1</v>
      </c>
      <c r="L2" s="1" t="s">
        <v>21</v>
      </c>
      <c r="M2" s="1" t="s">
        <v>22</v>
      </c>
      <c r="N2" s="1" t="s">
        <v>2</v>
      </c>
      <c r="O2" s="1" t="s">
        <v>23</v>
      </c>
      <c r="P2" s="1" t="s">
        <v>24</v>
      </c>
      <c r="R2" s="1" t="s">
        <v>33</v>
      </c>
      <c r="S2" s="1" t="s">
        <v>1</v>
      </c>
      <c r="T2" s="1" t="s">
        <v>21</v>
      </c>
      <c r="U2" s="1" t="s">
        <v>22</v>
      </c>
      <c r="V2" s="1" t="s">
        <v>2</v>
      </c>
      <c r="W2" s="1" t="s">
        <v>23</v>
      </c>
      <c r="X2" s="1" t="s">
        <v>24</v>
      </c>
      <c r="Z2" s="1" t="s">
        <v>33</v>
      </c>
      <c r="AA2" s="1" t="s">
        <v>1</v>
      </c>
      <c r="AB2" s="1" t="s">
        <v>21</v>
      </c>
      <c r="AC2" s="1" t="s">
        <v>22</v>
      </c>
      <c r="AD2" s="1" t="s">
        <v>2</v>
      </c>
      <c r="AE2" s="1" t="s">
        <v>23</v>
      </c>
      <c r="AF2" s="1" t="s">
        <v>24</v>
      </c>
      <c r="AH2" s="1" t="s">
        <v>33</v>
      </c>
      <c r="AI2" s="1" t="s">
        <v>1</v>
      </c>
      <c r="AJ2" s="1" t="s">
        <v>21</v>
      </c>
      <c r="AK2" s="1" t="s">
        <v>22</v>
      </c>
      <c r="AL2" s="1" t="s">
        <v>2</v>
      </c>
      <c r="AM2" s="1" t="s">
        <v>23</v>
      </c>
      <c r="AN2" s="1" t="s">
        <v>24</v>
      </c>
      <c r="AP2" s="1" t="s">
        <v>33</v>
      </c>
      <c r="AQ2" s="1" t="s">
        <v>1</v>
      </c>
      <c r="AR2" s="1" t="s">
        <v>21</v>
      </c>
      <c r="AS2" s="1" t="s">
        <v>22</v>
      </c>
      <c r="AT2" s="1" t="s">
        <v>2</v>
      </c>
      <c r="AU2" s="1" t="s">
        <v>23</v>
      </c>
      <c r="AV2" s="1" t="s">
        <v>24</v>
      </c>
      <c r="AX2" s="1" t="s">
        <v>33</v>
      </c>
      <c r="AY2" s="1" t="s">
        <v>1</v>
      </c>
      <c r="AZ2" s="1" t="s">
        <v>21</v>
      </c>
      <c r="BA2" s="1" t="s">
        <v>22</v>
      </c>
      <c r="BB2" s="1" t="s">
        <v>2</v>
      </c>
      <c r="BC2" s="1" t="s">
        <v>23</v>
      </c>
      <c r="BD2" s="1" t="s">
        <v>24</v>
      </c>
      <c r="BF2" s="1" t="s">
        <v>33</v>
      </c>
      <c r="BG2" s="1" t="s">
        <v>1</v>
      </c>
      <c r="BH2" s="1" t="s">
        <v>21</v>
      </c>
      <c r="BI2" s="1" t="s">
        <v>22</v>
      </c>
      <c r="BJ2" s="1" t="s">
        <v>2</v>
      </c>
      <c r="BK2" s="1" t="s">
        <v>23</v>
      </c>
      <c r="BL2" s="1" t="s">
        <v>24</v>
      </c>
      <c r="BN2" s="1" t="s">
        <v>33</v>
      </c>
      <c r="BO2" s="1" t="s">
        <v>1</v>
      </c>
      <c r="BP2" s="1" t="s">
        <v>21</v>
      </c>
      <c r="BQ2" s="1" t="s">
        <v>22</v>
      </c>
      <c r="BR2" s="1" t="s">
        <v>2</v>
      </c>
      <c r="BS2" s="1" t="s">
        <v>23</v>
      </c>
      <c r="BT2" s="1" t="s">
        <v>24</v>
      </c>
      <c r="BV2" s="1" t="s">
        <v>33</v>
      </c>
      <c r="BW2" s="1" t="s">
        <v>1</v>
      </c>
      <c r="BX2" s="1" t="s">
        <v>21</v>
      </c>
      <c r="BY2" s="1" t="s">
        <v>22</v>
      </c>
      <c r="BZ2" s="1" t="s">
        <v>2</v>
      </c>
      <c r="CA2" s="1" t="s">
        <v>23</v>
      </c>
      <c r="CB2" s="1" t="s">
        <v>24</v>
      </c>
      <c r="CD2" s="1" t="s">
        <v>33</v>
      </c>
      <c r="CE2" s="1" t="s">
        <v>1</v>
      </c>
      <c r="CF2" s="1" t="s">
        <v>21</v>
      </c>
      <c r="CG2" s="1" t="s">
        <v>22</v>
      </c>
      <c r="CH2" s="1" t="s">
        <v>2</v>
      </c>
      <c r="CI2" s="1" t="s">
        <v>23</v>
      </c>
      <c r="CJ2" s="1" t="s">
        <v>24</v>
      </c>
    </row>
    <row r="3" spans="1:88" x14ac:dyDescent="0.3">
      <c r="A3" s="16" t="s">
        <v>44</v>
      </c>
      <c r="B3" s="9"/>
      <c r="C3" s="9"/>
      <c r="D3" s="9"/>
      <c r="E3" s="9"/>
      <c r="F3" s="9"/>
      <c r="G3" s="9"/>
      <c r="H3" s="9"/>
      <c r="J3" s="9"/>
      <c r="K3" s="9"/>
      <c r="L3" s="9"/>
      <c r="M3" s="9"/>
      <c r="N3" s="9"/>
      <c r="O3" s="9"/>
      <c r="P3" s="9"/>
      <c r="R3" s="9"/>
      <c r="S3" s="9"/>
      <c r="T3" s="9"/>
      <c r="U3" s="9"/>
      <c r="V3" s="9"/>
      <c r="W3" s="9"/>
      <c r="X3" s="9"/>
      <c r="Z3" s="9"/>
      <c r="AA3" s="9"/>
      <c r="AB3" s="9"/>
      <c r="AC3" s="9"/>
      <c r="AD3" s="9"/>
      <c r="AE3" s="9"/>
      <c r="AF3" s="9"/>
      <c r="AH3" s="9"/>
      <c r="AI3" s="9"/>
      <c r="AJ3" s="9"/>
      <c r="AK3" s="9"/>
      <c r="AL3" s="9"/>
      <c r="AM3" s="9"/>
      <c r="AN3" s="9"/>
      <c r="AP3" s="9"/>
      <c r="AQ3" s="9"/>
      <c r="AR3" s="9"/>
      <c r="AS3" s="9"/>
      <c r="AT3" s="9"/>
      <c r="AU3" s="9"/>
      <c r="AV3" s="9"/>
      <c r="AX3" s="9"/>
      <c r="AY3" s="9"/>
      <c r="AZ3" s="9"/>
      <c r="BA3" s="9"/>
      <c r="BB3" s="9"/>
      <c r="BC3" s="9"/>
      <c r="BD3" s="9"/>
      <c r="BF3" s="9"/>
      <c r="BG3" s="9"/>
      <c r="BH3" s="9"/>
      <c r="BI3" s="9"/>
      <c r="BJ3" s="9"/>
      <c r="BK3" s="9"/>
      <c r="BL3" s="9"/>
      <c r="BN3" s="9"/>
      <c r="BO3" s="9"/>
      <c r="BP3" s="9"/>
      <c r="BQ3" s="9"/>
      <c r="BR3" s="9"/>
      <c r="BS3" s="9"/>
      <c r="BT3" s="9"/>
      <c r="BV3" s="9"/>
      <c r="BW3" s="9"/>
      <c r="BX3" s="9"/>
      <c r="BY3" s="9"/>
      <c r="BZ3" s="9"/>
      <c r="CA3" s="9"/>
      <c r="CB3" s="9"/>
      <c r="CD3" s="9"/>
      <c r="CE3" s="9"/>
      <c r="CF3" s="9"/>
      <c r="CG3" s="9"/>
      <c r="CH3" s="9"/>
      <c r="CI3" s="9"/>
      <c r="CJ3" s="9"/>
    </row>
    <row r="4" spans="1:88" x14ac:dyDescent="0.3">
      <c r="B4" s="9"/>
      <c r="C4" s="9"/>
      <c r="D4" s="9"/>
      <c r="E4" s="9"/>
      <c r="F4" s="9"/>
      <c r="G4" s="9"/>
      <c r="H4" s="9"/>
      <c r="J4" s="9"/>
      <c r="K4" s="9"/>
      <c r="L4" s="9"/>
      <c r="M4" s="9"/>
      <c r="N4" s="9"/>
      <c r="O4" s="9"/>
      <c r="P4" s="9"/>
      <c r="R4" s="9"/>
      <c r="S4" s="9"/>
      <c r="T4" s="9"/>
      <c r="U4" s="9"/>
      <c r="V4" s="9"/>
      <c r="W4" s="9"/>
      <c r="X4" s="9"/>
      <c r="Z4" s="9"/>
      <c r="AA4" s="9"/>
      <c r="AB4" s="9"/>
      <c r="AC4" s="9"/>
      <c r="AD4" s="9"/>
      <c r="AE4" s="9"/>
      <c r="AF4" s="9"/>
      <c r="AH4" s="9"/>
      <c r="AI4" s="9"/>
      <c r="AJ4" s="9"/>
      <c r="AK4" s="9"/>
      <c r="AL4" s="9"/>
      <c r="AM4" s="9"/>
      <c r="AN4" s="9"/>
      <c r="AP4" s="9"/>
      <c r="AQ4" s="9"/>
      <c r="AR4" s="9"/>
      <c r="AS4" s="9"/>
      <c r="AT4" s="9"/>
      <c r="AU4" s="9"/>
      <c r="AV4" s="9"/>
      <c r="AX4" s="9"/>
      <c r="AY4" s="9"/>
      <c r="AZ4" s="9"/>
      <c r="BA4" s="9"/>
      <c r="BB4" s="9"/>
      <c r="BC4" s="9"/>
      <c r="BD4" s="9"/>
      <c r="BF4" s="9"/>
      <c r="BG4" s="9"/>
      <c r="BH4" s="9"/>
      <c r="BI4" s="9"/>
      <c r="BJ4" s="9"/>
      <c r="BK4" s="9"/>
      <c r="BL4" s="9"/>
      <c r="BN4" s="9"/>
      <c r="BO4" s="9"/>
      <c r="BP4" s="9"/>
      <c r="BQ4" s="9"/>
      <c r="BR4" s="9"/>
      <c r="BS4" s="9"/>
      <c r="BT4" s="9"/>
      <c r="BV4" s="9"/>
      <c r="BW4" s="9"/>
      <c r="BX4" s="9"/>
      <c r="BY4" s="9"/>
      <c r="BZ4" s="9"/>
      <c r="CA4" s="9"/>
      <c r="CB4" s="9"/>
      <c r="CD4" s="9"/>
      <c r="CE4" s="9"/>
      <c r="CF4" s="9"/>
      <c r="CG4" s="9"/>
      <c r="CH4" s="9"/>
      <c r="CI4" s="9"/>
      <c r="CJ4" s="9"/>
    </row>
    <row r="5" spans="1:88" x14ac:dyDescent="0.3">
      <c r="B5" s="9"/>
      <c r="C5" s="9"/>
      <c r="D5" s="9"/>
      <c r="E5" s="9"/>
      <c r="F5" s="9"/>
      <c r="G5" s="9"/>
      <c r="H5" s="9"/>
      <c r="J5" s="9"/>
      <c r="K5" s="9"/>
      <c r="L5" s="9"/>
      <c r="M5" s="9"/>
      <c r="N5" s="9"/>
      <c r="O5" s="9"/>
      <c r="P5" s="9"/>
      <c r="R5" s="9"/>
      <c r="S5" s="9"/>
      <c r="T5" s="9"/>
      <c r="U5" s="9"/>
      <c r="V5" s="9"/>
      <c r="W5" s="9"/>
      <c r="X5" s="9"/>
      <c r="Z5" s="9"/>
      <c r="AA5" s="9"/>
      <c r="AB5" s="9"/>
      <c r="AC5" s="9"/>
      <c r="AD5" s="9"/>
      <c r="AE5" s="9"/>
      <c r="AF5" s="9"/>
      <c r="AH5" s="9"/>
      <c r="AI5" s="9"/>
      <c r="AJ5" s="9"/>
      <c r="AK5" s="9"/>
      <c r="AL5" s="9"/>
      <c r="AM5" s="9"/>
      <c r="AN5" s="9"/>
      <c r="AP5" s="9"/>
      <c r="AQ5" s="9"/>
      <c r="AR5" s="9"/>
      <c r="AS5" s="9"/>
      <c r="AT5" s="9"/>
      <c r="AU5" s="9"/>
      <c r="AV5" s="9"/>
      <c r="AX5" s="9"/>
      <c r="AY5" s="9"/>
      <c r="AZ5" s="9"/>
      <c r="BA5" s="9"/>
      <c r="BB5" s="9"/>
      <c r="BC5" s="9"/>
      <c r="BD5" s="9"/>
      <c r="BF5" s="9"/>
      <c r="BG5" s="9"/>
      <c r="BH5" s="9"/>
      <c r="BI5" s="9"/>
      <c r="BJ5" s="9"/>
      <c r="BK5" s="9"/>
      <c r="BL5" s="9"/>
      <c r="BN5" s="9"/>
      <c r="BO5" s="9"/>
      <c r="BP5" s="9"/>
      <c r="BQ5" s="9"/>
      <c r="BR5" s="9"/>
      <c r="BS5" s="9"/>
      <c r="BT5" s="9"/>
      <c r="BV5" s="9"/>
      <c r="BW5" s="9"/>
      <c r="BX5" s="9"/>
      <c r="BY5" s="9"/>
      <c r="BZ5" s="9"/>
      <c r="CA5" s="9"/>
      <c r="CB5" s="9"/>
      <c r="CD5" s="9"/>
      <c r="CE5" s="9"/>
      <c r="CF5" s="9"/>
      <c r="CG5" s="9"/>
      <c r="CH5" s="9"/>
      <c r="CI5" s="9"/>
      <c r="CJ5" s="9"/>
    </row>
    <row r="6" spans="1:88" x14ac:dyDescent="0.3">
      <c r="B6" s="9"/>
      <c r="C6" s="9"/>
      <c r="D6" s="9"/>
      <c r="E6" s="9"/>
      <c r="F6" s="9"/>
      <c r="G6" s="9"/>
      <c r="H6" s="9"/>
      <c r="J6" s="9"/>
      <c r="K6" s="9"/>
      <c r="L6" s="9"/>
      <c r="M6" s="9"/>
      <c r="N6" s="9"/>
      <c r="O6" s="9"/>
      <c r="P6" s="9"/>
      <c r="R6" s="9"/>
      <c r="S6" s="9"/>
      <c r="T6" s="9"/>
      <c r="U6" s="9"/>
      <c r="V6" s="9"/>
      <c r="W6" s="9"/>
      <c r="X6" s="9"/>
      <c r="Z6" s="9"/>
      <c r="AA6" s="9"/>
      <c r="AB6" s="9"/>
      <c r="AC6" s="9"/>
      <c r="AD6" s="9"/>
      <c r="AE6" s="9"/>
      <c r="AF6" s="9"/>
      <c r="AH6" s="9"/>
      <c r="AI6" s="9"/>
      <c r="AJ6" s="9"/>
      <c r="AK6" s="9"/>
      <c r="AL6" s="9"/>
      <c r="AM6" s="9"/>
      <c r="AN6" s="9"/>
      <c r="AP6" s="9"/>
      <c r="AQ6" s="9"/>
      <c r="AR6" s="9"/>
      <c r="AS6" s="9"/>
      <c r="AT6" s="9"/>
      <c r="AU6" s="9"/>
      <c r="AV6" s="9"/>
      <c r="AX6" s="9"/>
      <c r="AY6" s="9"/>
      <c r="AZ6" s="9"/>
      <c r="BA6" s="9"/>
      <c r="BB6" s="9"/>
      <c r="BC6" s="9"/>
      <c r="BD6" s="9"/>
      <c r="BF6" s="9"/>
      <c r="BG6" s="9"/>
      <c r="BH6" s="9"/>
      <c r="BI6" s="9"/>
      <c r="BJ6" s="9"/>
      <c r="BK6" s="9"/>
      <c r="BL6" s="9"/>
      <c r="BN6" s="9"/>
      <c r="BO6" s="9"/>
      <c r="BP6" s="9"/>
      <c r="BQ6" s="9"/>
      <c r="BR6" s="9"/>
      <c r="BS6" s="9"/>
      <c r="BT6" s="9"/>
      <c r="BV6" s="9"/>
      <c r="BW6" s="9"/>
      <c r="BX6" s="9"/>
      <c r="BY6" s="9"/>
      <c r="BZ6" s="9"/>
      <c r="CA6" s="9"/>
      <c r="CB6" s="9"/>
      <c r="CD6" s="9"/>
      <c r="CE6" s="9"/>
      <c r="CF6" s="9"/>
      <c r="CG6" s="9"/>
      <c r="CH6" s="9"/>
      <c r="CI6" s="9"/>
      <c r="CJ6" s="9"/>
    </row>
    <row r="7" spans="1:88" x14ac:dyDescent="0.3">
      <c r="B7" s="9"/>
      <c r="C7" s="9"/>
      <c r="D7" s="9"/>
      <c r="E7" s="9"/>
      <c r="F7" s="9"/>
      <c r="G7" s="9"/>
      <c r="H7" s="9"/>
      <c r="J7" s="9"/>
      <c r="K7" s="9"/>
      <c r="L7" s="9"/>
      <c r="M7" s="9"/>
      <c r="N7" s="9"/>
      <c r="O7" s="9"/>
      <c r="P7" s="9"/>
      <c r="R7" s="9"/>
      <c r="S7" s="9"/>
      <c r="T7" s="9"/>
      <c r="U7" s="9"/>
      <c r="V7" s="9"/>
      <c r="W7" s="9"/>
      <c r="X7" s="9"/>
      <c r="Z7" s="9"/>
      <c r="AA7" s="9"/>
      <c r="AB7" s="9"/>
      <c r="AC7" s="9"/>
      <c r="AD7" s="9"/>
      <c r="AE7" s="9"/>
      <c r="AF7" s="9"/>
      <c r="AH7" s="9"/>
      <c r="AI7" s="9"/>
      <c r="AJ7" s="9"/>
      <c r="AK7" s="9"/>
      <c r="AL7" s="9"/>
      <c r="AM7" s="9"/>
      <c r="AN7" s="9"/>
      <c r="AP7" s="9"/>
      <c r="AQ7" s="9"/>
      <c r="AR7" s="9"/>
      <c r="AS7" s="9"/>
      <c r="AT7" s="9"/>
      <c r="AU7" s="9"/>
      <c r="AV7" s="9"/>
      <c r="AX7" s="9"/>
      <c r="AY7" s="9"/>
      <c r="AZ7" s="9"/>
      <c r="BA7" s="9"/>
      <c r="BB7" s="9"/>
      <c r="BC7" s="9"/>
      <c r="BD7" s="9"/>
      <c r="BF7" s="9"/>
      <c r="BG7" s="9"/>
      <c r="BH7" s="9"/>
      <c r="BI7" s="9"/>
      <c r="BJ7" s="9"/>
      <c r="BK7" s="9"/>
      <c r="BL7" s="9"/>
      <c r="BN7" s="9"/>
      <c r="BO7" s="9"/>
      <c r="BP7" s="9"/>
      <c r="BQ7" s="9"/>
      <c r="BR7" s="9"/>
      <c r="BS7" s="9"/>
      <c r="BT7" s="9"/>
      <c r="BV7" s="9"/>
      <c r="BW7" s="9"/>
      <c r="BX7" s="9"/>
      <c r="BY7" s="9"/>
      <c r="BZ7" s="9"/>
      <c r="CA7" s="9"/>
      <c r="CB7" s="9"/>
      <c r="CD7" s="9"/>
      <c r="CE7" s="9"/>
      <c r="CF7" s="9"/>
      <c r="CG7" s="9"/>
      <c r="CH7" s="9"/>
      <c r="CI7" s="9"/>
      <c r="CJ7" s="9"/>
    </row>
    <row r="8" spans="1:88" x14ac:dyDescent="0.3">
      <c r="B8" s="9"/>
      <c r="C8" s="9"/>
      <c r="D8" s="9"/>
      <c r="E8" s="9"/>
      <c r="F8" s="9"/>
      <c r="G8" s="9"/>
      <c r="H8" s="9"/>
      <c r="J8" s="9"/>
      <c r="K8" s="9"/>
      <c r="L8" s="9"/>
      <c r="M8" s="9"/>
      <c r="N8" s="9"/>
      <c r="O8" s="9"/>
      <c r="P8" s="9"/>
      <c r="R8" s="9"/>
      <c r="S8" s="9"/>
      <c r="T8" s="9"/>
      <c r="U8" s="9"/>
      <c r="V8" s="9"/>
      <c r="W8" s="9"/>
      <c r="X8" s="9"/>
      <c r="Z8" s="9"/>
      <c r="AA8" s="9"/>
      <c r="AB8" s="9"/>
      <c r="AC8" s="9"/>
      <c r="AD8" s="9"/>
      <c r="AE8" s="9"/>
      <c r="AF8" s="9"/>
      <c r="AH8" s="9"/>
      <c r="AI8" s="9"/>
      <c r="AJ8" s="9"/>
      <c r="AK8" s="9"/>
      <c r="AL8" s="9"/>
      <c r="AM8" s="9"/>
      <c r="AN8" s="9"/>
      <c r="AP8" s="9"/>
      <c r="AQ8" s="9"/>
      <c r="AR8" s="9"/>
      <c r="AS8" s="9"/>
      <c r="AT8" s="9"/>
      <c r="AU8" s="9"/>
      <c r="AV8" s="9"/>
      <c r="AX8" s="9"/>
      <c r="AY8" s="9"/>
      <c r="AZ8" s="9"/>
      <c r="BA8" s="9"/>
      <c r="BB8" s="9"/>
      <c r="BC8" s="9"/>
      <c r="BD8" s="9"/>
      <c r="BF8" s="9"/>
      <c r="BG8" s="9"/>
      <c r="BH8" s="9"/>
      <c r="BI8" s="9"/>
      <c r="BJ8" s="9"/>
      <c r="BK8" s="9"/>
      <c r="BL8" s="9"/>
      <c r="BN8" s="9"/>
      <c r="BO8" s="9"/>
      <c r="BP8" s="9"/>
      <c r="BQ8" s="9"/>
      <c r="BR8" s="9"/>
      <c r="BS8" s="9"/>
      <c r="BT8" s="9"/>
      <c r="BV8" s="9"/>
      <c r="BW8" s="9"/>
      <c r="BX8" s="9"/>
      <c r="BY8" s="9"/>
      <c r="BZ8" s="9"/>
      <c r="CA8" s="9"/>
      <c r="CB8" s="9"/>
      <c r="CD8" s="9"/>
      <c r="CE8" s="9"/>
      <c r="CF8" s="9"/>
      <c r="CG8" s="9"/>
      <c r="CH8" s="9"/>
      <c r="CI8" s="9"/>
      <c r="CJ8" s="9"/>
    </row>
    <row r="9" spans="1:88" x14ac:dyDescent="0.3">
      <c r="B9" s="9"/>
      <c r="C9" s="9"/>
      <c r="D9" s="9"/>
      <c r="E9" s="9"/>
      <c r="F9" s="9"/>
      <c r="G9" s="9"/>
      <c r="H9" s="9"/>
      <c r="J9" s="9"/>
      <c r="K9" s="9"/>
      <c r="L9" s="9"/>
      <c r="M9" s="9"/>
      <c r="N9" s="9"/>
      <c r="O9" s="9"/>
      <c r="P9" s="9"/>
      <c r="R9" s="9"/>
      <c r="S9" s="9"/>
      <c r="T9" s="9"/>
      <c r="U9" s="9"/>
      <c r="V9" s="9"/>
      <c r="W9" s="9"/>
      <c r="X9" s="9"/>
      <c r="Z9" s="9"/>
      <c r="AA9" s="9"/>
      <c r="AB9" s="9"/>
      <c r="AC9" s="9"/>
      <c r="AD9" s="9"/>
      <c r="AE9" s="9"/>
      <c r="AF9" s="9"/>
      <c r="AH9" s="9"/>
      <c r="AI9" s="9"/>
      <c r="AJ9" s="9"/>
      <c r="AK9" s="9"/>
      <c r="AL9" s="9"/>
      <c r="AM9" s="9"/>
      <c r="AN9" s="9"/>
      <c r="AP9" s="9"/>
      <c r="AQ9" s="9"/>
      <c r="AR9" s="9"/>
      <c r="AS9" s="9"/>
      <c r="AT9" s="9"/>
      <c r="AU9" s="9"/>
      <c r="AV9" s="9"/>
      <c r="AX9" s="9"/>
      <c r="AY9" s="9"/>
      <c r="AZ9" s="9"/>
      <c r="BA9" s="9"/>
      <c r="BB9" s="9"/>
      <c r="BC9" s="9"/>
      <c r="BD9" s="9"/>
      <c r="BF9" s="9"/>
      <c r="BG9" s="9"/>
      <c r="BH9" s="9"/>
      <c r="BI9" s="9"/>
      <c r="BJ9" s="9"/>
      <c r="BK9" s="9"/>
      <c r="BL9" s="9"/>
      <c r="BN9" s="9"/>
      <c r="BO9" s="9"/>
      <c r="BP9" s="9"/>
      <c r="BQ9" s="9"/>
      <c r="BR9" s="9"/>
      <c r="BS9" s="9"/>
      <c r="BT9" s="9"/>
      <c r="BV9" s="9"/>
      <c r="BW9" s="9"/>
      <c r="BX9" s="9"/>
      <c r="BY9" s="9"/>
      <c r="BZ9" s="9"/>
      <c r="CA9" s="9"/>
      <c r="CB9" s="9"/>
      <c r="CD9" s="9"/>
      <c r="CE9" s="9"/>
      <c r="CF9" s="9"/>
      <c r="CG9" s="9"/>
      <c r="CH9" s="9"/>
      <c r="CI9" s="9"/>
      <c r="CJ9" s="9"/>
    </row>
    <row r="10" spans="1:88" x14ac:dyDescent="0.3">
      <c r="B10" s="9"/>
      <c r="C10" s="9"/>
      <c r="D10" s="9"/>
      <c r="E10" s="9"/>
      <c r="F10" s="9"/>
      <c r="G10" s="9"/>
      <c r="H10" s="9"/>
      <c r="J10" s="9"/>
      <c r="K10" s="9"/>
      <c r="L10" s="9"/>
      <c r="M10" s="9"/>
      <c r="N10" s="9"/>
      <c r="O10" s="9"/>
      <c r="P10" s="9"/>
      <c r="R10" s="9"/>
      <c r="S10" s="9"/>
      <c r="T10" s="9"/>
      <c r="U10" s="9"/>
      <c r="V10" s="9"/>
      <c r="W10" s="9"/>
      <c r="X10" s="9"/>
      <c r="Z10" s="9"/>
      <c r="AA10" s="9"/>
      <c r="AB10" s="9"/>
      <c r="AC10" s="9"/>
      <c r="AD10" s="9"/>
      <c r="AE10" s="9"/>
      <c r="AF10" s="9"/>
      <c r="AH10" s="9"/>
      <c r="AI10" s="9"/>
      <c r="AJ10" s="9"/>
      <c r="AK10" s="9"/>
      <c r="AL10" s="9"/>
      <c r="AM10" s="9"/>
      <c r="AN10" s="9"/>
      <c r="AP10" s="9"/>
      <c r="AQ10" s="9"/>
      <c r="AR10" s="9"/>
      <c r="AS10" s="9"/>
      <c r="AT10" s="9"/>
      <c r="AU10" s="9"/>
      <c r="AV10" s="9"/>
      <c r="AX10" s="9"/>
      <c r="AY10" s="9"/>
      <c r="AZ10" s="9"/>
      <c r="BA10" s="9"/>
      <c r="BB10" s="9"/>
      <c r="BC10" s="9"/>
      <c r="BD10" s="9"/>
      <c r="BF10" s="9"/>
      <c r="BG10" s="9"/>
      <c r="BH10" s="9"/>
      <c r="BI10" s="9"/>
      <c r="BJ10" s="9"/>
      <c r="BK10" s="9"/>
      <c r="BL10" s="9"/>
      <c r="BN10" s="9"/>
      <c r="BO10" s="9"/>
      <c r="BP10" s="9"/>
      <c r="BQ10" s="9"/>
      <c r="BR10" s="9"/>
      <c r="BS10" s="9"/>
      <c r="BT10" s="9"/>
      <c r="BV10" s="9"/>
      <c r="BW10" s="9"/>
      <c r="BX10" s="9"/>
      <c r="BY10" s="9"/>
      <c r="BZ10" s="9"/>
      <c r="CA10" s="9"/>
      <c r="CB10" s="9"/>
      <c r="CD10" s="9"/>
      <c r="CE10" s="9"/>
      <c r="CF10" s="9"/>
      <c r="CG10" s="9"/>
      <c r="CH10" s="9"/>
      <c r="CI10" s="9"/>
      <c r="CJ10" s="9"/>
    </row>
    <row r="11" spans="1:88" x14ac:dyDescent="0.3">
      <c r="B11" s="9"/>
      <c r="C11" s="9"/>
      <c r="D11" s="9"/>
      <c r="E11" s="9"/>
      <c r="F11" s="9"/>
      <c r="G11" s="9"/>
      <c r="H11" s="9"/>
      <c r="J11" s="9"/>
      <c r="K11" s="9"/>
      <c r="L11" s="9"/>
      <c r="M11" s="9"/>
      <c r="N11" s="9"/>
      <c r="O11" s="9"/>
      <c r="P11" s="9"/>
      <c r="R11" s="9"/>
      <c r="S11" s="9"/>
      <c r="T11" s="9"/>
      <c r="U11" s="9"/>
      <c r="V11" s="9"/>
      <c r="W11" s="9"/>
      <c r="X11" s="9"/>
      <c r="Z11" s="9"/>
      <c r="AA11" s="9"/>
      <c r="AB11" s="9"/>
      <c r="AC11" s="9"/>
      <c r="AD11" s="9"/>
      <c r="AE11" s="9"/>
      <c r="AF11" s="9"/>
      <c r="AH11" s="9"/>
      <c r="AI11" s="9"/>
      <c r="AJ11" s="9"/>
      <c r="AK11" s="9"/>
      <c r="AL11" s="9"/>
      <c r="AM11" s="9"/>
      <c r="AN11" s="9"/>
      <c r="AP11" s="9"/>
      <c r="AQ11" s="9"/>
      <c r="AR11" s="9"/>
      <c r="AS11" s="9"/>
      <c r="AT11" s="9"/>
      <c r="AU11" s="9"/>
      <c r="AV11" s="9"/>
      <c r="AX11" s="9"/>
      <c r="AY11" s="9"/>
      <c r="AZ11" s="9"/>
      <c r="BA11" s="9"/>
      <c r="BB11" s="9"/>
      <c r="BC11" s="9"/>
      <c r="BD11" s="9"/>
      <c r="BF11" s="9"/>
      <c r="BG11" s="9"/>
      <c r="BH11" s="9"/>
      <c r="BI11" s="9"/>
      <c r="BJ11" s="9"/>
      <c r="BK11" s="9"/>
      <c r="BL11" s="9"/>
      <c r="BN11" s="9"/>
      <c r="BO11" s="9"/>
      <c r="BP11" s="9"/>
      <c r="BQ11" s="9"/>
      <c r="BR11" s="9"/>
      <c r="BS11" s="9"/>
      <c r="BT11" s="9"/>
      <c r="BV11" s="9"/>
      <c r="BW11" s="9"/>
      <c r="BX11" s="9"/>
      <c r="BY11" s="9"/>
      <c r="BZ11" s="9"/>
      <c r="CA11" s="9"/>
      <c r="CB11" s="9"/>
      <c r="CD11" s="9"/>
      <c r="CE11" s="9"/>
      <c r="CF11" s="9"/>
      <c r="CG11" s="9"/>
      <c r="CH11" s="9"/>
      <c r="CI11" s="9"/>
      <c r="CJ11" s="9"/>
    </row>
    <row r="12" spans="1:88" x14ac:dyDescent="0.3">
      <c r="B12" s="9"/>
      <c r="C12" s="9"/>
      <c r="D12" s="9"/>
      <c r="E12" s="9"/>
      <c r="F12" s="9"/>
      <c r="G12" s="9"/>
      <c r="H12" s="9"/>
      <c r="J12" s="9"/>
      <c r="K12" s="9"/>
      <c r="L12" s="9"/>
      <c r="M12" s="9"/>
      <c r="N12" s="9"/>
      <c r="O12" s="9"/>
      <c r="P12" s="9"/>
      <c r="R12" s="9"/>
      <c r="S12" s="9"/>
      <c r="T12" s="9"/>
      <c r="U12" s="9"/>
      <c r="V12" s="9"/>
      <c r="W12" s="9"/>
      <c r="X12" s="9"/>
      <c r="Z12" s="9"/>
      <c r="AA12" s="9"/>
      <c r="AB12" s="9"/>
      <c r="AC12" s="9"/>
      <c r="AD12" s="9"/>
      <c r="AE12" s="9"/>
      <c r="AF12" s="9"/>
      <c r="AH12" s="9"/>
      <c r="AI12" s="9"/>
      <c r="AJ12" s="9"/>
      <c r="AK12" s="9"/>
      <c r="AL12" s="9"/>
      <c r="AM12" s="9"/>
      <c r="AN12" s="9"/>
      <c r="AP12" s="9"/>
      <c r="AQ12" s="9"/>
      <c r="AR12" s="9"/>
      <c r="AS12" s="9"/>
      <c r="AT12" s="9"/>
      <c r="AU12" s="9"/>
      <c r="AV12" s="9"/>
      <c r="AX12" s="9"/>
      <c r="AY12" s="9"/>
      <c r="AZ12" s="9"/>
      <c r="BA12" s="9"/>
      <c r="BB12" s="9"/>
      <c r="BC12" s="9"/>
      <c r="BD12" s="9"/>
      <c r="BF12" s="9"/>
      <c r="BG12" s="9"/>
      <c r="BH12" s="9"/>
      <c r="BI12" s="9"/>
      <c r="BJ12" s="9"/>
      <c r="BK12" s="9"/>
      <c r="BL12" s="9"/>
      <c r="BN12" s="9"/>
      <c r="BO12" s="9"/>
      <c r="BP12" s="9"/>
      <c r="BQ12" s="9"/>
      <c r="BR12" s="9"/>
      <c r="BS12" s="9"/>
      <c r="BT12" s="9"/>
      <c r="BV12" s="9"/>
      <c r="BW12" s="9"/>
      <c r="BX12" s="9"/>
      <c r="BY12" s="9"/>
      <c r="BZ12" s="9"/>
      <c r="CA12" s="9"/>
      <c r="CB12" s="9"/>
      <c r="CD12" s="9"/>
      <c r="CE12" s="9"/>
      <c r="CF12" s="9"/>
      <c r="CG12" s="9"/>
      <c r="CH12" s="9"/>
      <c r="CI12" s="9"/>
      <c r="CJ12" s="9"/>
    </row>
    <row r="13" spans="1:88" x14ac:dyDescent="0.3">
      <c r="B13" s="9"/>
      <c r="C13" s="9"/>
      <c r="D13" s="9"/>
      <c r="E13" s="9"/>
      <c r="F13" s="9"/>
      <c r="G13" s="9"/>
      <c r="H13" s="9"/>
      <c r="J13" s="9"/>
      <c r="K13" s="9"/>
      <c r="L13" s="9"/>
      <c r="M13" s="9"/>
      <c r="N13" s="9"/>
      <c r="O13" s="9"/>
      <c r="P13" s="9"/>
      <c r="R13" s="9"/>
      <c r="S13" s="9"/>
      <c r="T13" s="9"/>
      <c r="U13" s="9"/>
      <c r="V13" s="9"/>
      <c r="W13" s="9"/>
      <c r="X13" s="9"/>
      <c r="Z13" s="9"/>
      <c r="AA13" s="9"/>
      <c r="AB13" s="9"/>
      <c r="AC13" s="9"/>
      <c r="AD13" s="9"/>
      <c r="AE13" s="9"/>
      <c r="AF13" s="9"/>
      <c r="AH13" s="9"/>
      <c r="AI13" s="9"/>
      <c r="AJ13" s="9"/>
      <c r="AK13" s="9"/>
      <c r="AL13" s="9"/>
      <c r="AM13" s="9"/>
      <c r="AN13" s="9"/>
      <c r="AP13" s="9"/>
      <c r="AQ13" s="9"/>
      <c r="AR13" s="9"/>
      <c r="AS13" s="9"/>
      <c r="AT13" s="9"/>
      <c r="AU13" s="9"/>
      <c r="AV13" s="9"/>
      <c r="AX13" s="9"/>
      <c r="AY13" s="9"/>
      <c r="AZ13" s="9"/>
      <c r="BA13" s="9"/>
      <c r="BB13" s="9"/>
      <c r="BC13" s="9"/>
      <c r="BD13" s="9"/>
      <c r="BF13" s="9"/>
      <c r="BG13" s="9"/>
      <c r="BH13" s="9"/>
      <c r="BI13" s="9"/>
      <c r="BJ13" s="9"/>
      <c r="BK13" s="9"/>
      <c r="BL13" s="9"/>
      <c r="BN13" s="9"/>
      <c r="BO13" s="9"/>
      <c r="BP13" s="9"/>
      <c r="BQ13" s="9"/>
      <c r="BR13" s="9"/>
      <c r="BS13" s="9"/>
      <c r="BT13" s="9"/>
      <c r="BV13" s="9"/>
      <c r="BW13" s="9"/>
      <c r="BX13" s="9"/>
      <c r="BY13" s="9"/>
      <c r="BZ13" s="9"/>
      <c r="CA13" s="9"/>
      <c r="CB13" s="9"/>
      <c r="CD13" s="9"/>
      <c r="CE13" s="9"/>
      <c r="CF13" s="9"/>
      <c r="CG13" s="9"/>
      <c r="CH13" s="9"/>
      <c r="CI13" s="9"/>
      <c r="CJ13" s="9"/>
    </row>
    <row r="14" spans="1:88" x14ac:dyDescent="0.3">
      <c r="B14" s="5"/>
      <c r="C14" s="5"/>
      <c r="D14" s="5"/>
      <c r="E14" s="5"/>
      <c r="F14" s="5"/>
      <c r="G14" s="5"/>
      <c r="H14" s="5"/>
      <c r="J14" s="5"/>
      <c r="K14" s="5"/>
      <c r="L14" s="5"/>
      <c r="M14" s="5"/>
      <c r="N14" s="5"/>
      <c r="O14" s="5"/>
      <c r="P14" s="5"/>
      <c r="R14" s="5"/>
      <c r="S14" s="5"/>
      <c r="T14" s="5"/>
      <c r="U14" s="5"/>
      <c r="V14" s="5"/>
      <c r="W14" s="5"/>
      <c r="X14" s="5"/>
      <c r="Z14" s="5"/>
      <c r="AA14" s="5"/>
      <c r="AB14" s="5"/>
      <c r="AC14" s="5"/>
      <c r="AD14" s="5"/>
      <c r="AE14" s="5"/>
      <c r="AF14" s="5"/>
      <c r="AH14" s="5"/>
      <c r="AI14" s="5"/>
      <c r="AJ14" s="5"/>
      <c r="AK14" s="5"/>
      <c r="AL14" s="5"/>
      <c r="AM14" s="5"/>
      <c r="AN14" s="5"/>
      <c r="AP14" s="5"/>
      <c r="AQ14" s="5"/>
      <c r="AR14" s="5"/>
      <c r="AS14" s="5"/>
      <c r="AT14" s="5"/>
      <c r="AU14" s="5"/>
      <c r="AV14" s="5"/>
      <c r="AX14" s="5"/>
      <c r="AY14" s="5"/>
      <c r="AZ14" s="5"/>
      <c r="BA14" s="5"/>
      <c r="BB14" s="5"/>
      <c r="BC14" s="5"/>
      <c r="BD14" s="5"/>
      <c r="BF14" s="5"/>
      <c r="BG14" s="5"/>
      <c r="BH14" s="5"/>
      <c r="BI14" s="5"/>
      <c r="BJ14" s="5"/>
      <c r="BK14" s="5"/>
      <c r="BL14" s="5"/>
      <c r="BN14" s="5"/>
      <c r="BO14" s="5"/>
      <c r="BP14" s="5"/>
      <c r="BQ14" s="5"/>
      <c r="BR14" s="5"/>
      <c r="BS14" s="5"/>
      <c r="BT14" s="5"/>
      <c r="BV14" s="5"/>
      <c r="BW14" s="5"/>
      <c r="BX14" s="5"/>
      <c r="BY14" s="5"/>
      <c r="BZ14" s="5"/>
      <c r="CA14" s="5"/>
      <c r="CB14" s="5"/>
      <c r="CD14" s="5"/>
      <c r="CE14" s="5"/>
      <c r="CF14" s="5"/>
      <c r="CG14" s="5"/>
      <c r="CH14" s="5"/>
      <c r="CI14" s="5"/>
      <c r="CJ14" s="5"/>
    </row>
    <row r="15" spans="1:88" x14ac:dyDescent="0.3">
      <c r="A15" s="16" t="s">
        <v>45</v>
      </c>
      <c r="B15" s="9"/>
      <c r="C15" s="9"/>
      <c r="D15" s="9"/>
      <c r="E15" s="9"/>
      <c r="F15" s="9"/>
      <c r="G15" s="9"/>
      <c r="H15" s="9"/>
      <c r="J15" s="9"/>
      <c r="K15" s="9"/>
      <c r="L15" s="9"/>
      <c r="M15" s="9"/>
      <c r="N15" s="9"/>
      <c r="O15" s="9"/>
      <c r="P15" s="9"/>
      <c r="R15" s="9"/>
      <c r="S15" s="9"/>
      <c r="T15" s="9"/>
      <c r="U15" s="9"/>
      <c r="V15" s="9"/>
      <c r="W15" s="9"/>
      <c r="X15" s="9"/>
      <c r="Z15" s="9"/>
      <c r="AA15" s="9"/>
      <c r="AB15" s="9"/>
      <c r="AC15" s="9"/>
      <c r="AD15" s="9"/>
      <c r="AE15" s="9"/>
      <c r="AF15" s="9"/>
      <c r="AH15" s="9"/>
      <c r="AI15" s="9"/>
      <c r="AJ15" s="9"/>
      <c r="AK15" s="9"/>
      <c r="AL15" s="9"/>
      <c r="AM15" s="9"/>
      <c r="AN15" s="9"/>
      <c r="AP15" s="9"/>
      <c r="AQ15" s="9"/>
      <c r="AR15" s="9"/>
      <c r="AS15" s="9"/>
      <c r="AT15" s="9"/>
      <c r="AU15" s="9"/>
      <c r="AV15" s="9"/>
      <c r="AX15" s="9"/>
      <c r="AY15" s="9"/>
      <c r="AZ15" s="9"/>
      <c r="BA15" s="9"/>
      <c r="BB15" s="9"/>
      <c r="BC15" s="9"/>
      <c r="BD15" s="9"/>
      <c r="BF15" s="9"/>
      <c r="BG15" s="9"/>
      <c r="BH15" s="9"/>
      <c r="BI15" s="9"/>
      <c r="BJ15" s="9"/>
      <c r="BK15" s="9"/>
      <c r="BL15" s="9"/>
      <c r="BN15" s="9"/>
      <c r="BO15" s="9"/>
      <c r="BP15" s="9"/>
      <c r="BQ15" s="9"/>
      <c r="BR15" s="9"/>
      <c r="BS15" s="9"/>
      <c r="BT15" s="9"/>
      <c r="BV15" s="9"/>
      <c r="BW15" s="9"/>
      <c r="BX15" s="9"/>
      <c r="BY15" s="9"/>
      <c r="BZ15" s="9"/>
      <c r="CA15" s="9"/>
      <c r="CB15" s="9"/>
      <c r="CD15" s="9"/>
      <c r="CE15" s="9"/>
      <c r="CF15" s="9"/>
      <c r="CG15" s="9"/>
      <c r="CH15" s="9"/>
      <c r="CI15" s="9"/>
      <c r="CJ15" s="9"/>
    </row>
    <row r="16" spans="1:88" x14ac:dyDescent="0.3">
      <c r="B16" s="9"/>
      <c r="C16" s="9"/>
      <c r="D16" s="9"/>
      <c r="E16" s="9"/>
      <c r="F16" s="9"/>
      <c r="G16" s="9"/>
      <c r="H16" s="9"/>
      <c r="J16" s="9"/>
      <c r="K16" s="9"/>
      <c r="L16" s="9"/>
      <c r="M16" s="9"/>
      <c r="N16" s="9"/>
      <c r="O16" s="9"/>
      <c r="P16" s="9"/>
      <c r="R16" s="9"/>
      <c r="S16" s="9"/>
      <c r="T16" s="9"/>
      <c r="U16" s="9"/>
      <c r="V16" s="9"/>
      <c r="W16" s="9"/>
      <c r="X16" s="9"/>
      <c r="Z16" s="9"/>
      <c r="AA16" s="9"/>
      <c r="AB16" s="9"/>
      <c r="AC16" s="9"/>
      <c r="AD16" s="9"/>
      <c r="AE16" s="9"/>
      <c r="AF16" s="9"/>
      <c r="AH16" s="9"/>
      <c r="AI16" s="9"/>
      <c r="AJ16" s="9"/>
      <c r="AK16" s="9"/>
      <c r="AL16" s="9"/>
      <c r="AM16" s="9"/>
      <c r="AN16" s="9"/>
      <c r="AP16" s="9"/>
      <c r="AQ16" s="9"/>
      <c r="AR16" s="9"/>
      <c r="AS16" s="9"/>
      <c r="AT16" s="9"/>
      <c r="AU16" s="9"/>
      <c r="AV16" s="9"/>
      <c r="AX16" s="9"/>
      <c r="AY16" s="9"/>
      <c r="AZ16" s="9"/>
      <c r="BA16" s="9"/>
      <c r="BB16" s="9"/>
      <c r="BC16" s="9"/>
      <c r="BD16" s="9"/>
      <c r="BF16" s="9"/>
      <c r="BG16" s="9"/>
      <c r="BH16" s="9"/>
      <c r="BI16" s="9"/>
      <c r="BJ16" s="9"/>
      <c r="BK16" s="9"/>
      <c r="BL16" s="9"/>
      <c r="BN16" s="9"/>
      <c r="BO16" s="9"/>
      <c r="BP16" s="9"/>
      <c r="BQ16" s="9"/>
      <c r="BR16" s="9"/>
      <c r="BS16" s="9"/>
      <c r="BT16" s="9"/>
      <c r="BV16" s="9"/>
      <c r="BW16" s="9"/>
      <c r="BX16" s="9"/>
      <c r="BY16" s="9"/>
      <c r="BZ16" s="9"/>
      <c r="CA16" s="9"/>
      <c r="CB16" s="9"/>
      <c r="CD16" s="9"/>
      <c r="CE16" s="9"/>
      <c r="CF16" s="9"/>
      <c r="CG16" s="9"/>
      <c r="CH16" s="9"/>
      <c r="CI16" s="9"/>
      <c r="CJ16" s="9"/>
    </row>
    <row r="17" spans="1:88" x14ac:dyDescent="0.3">
      <c r="B17" s="9"/>
      <c r="C17" s="9"/>
      <c r="D17" s="9"/>
      <c r="E17" s="9"/>
      <c r="F17" s="9"/>
      <c r="G17" s="9"/>
      <c r="H17" s="9"/>
      <c r="J17" s="9"/>
      <c r="K17" s="9"/>
      <c r="L17" s="9"/>
      <c r="M17" s="9"/>
      <c r="N17" s="9"/>
      <c r="O17" s="9"/>
      <c r="P17" s="9"/>
      <c r="R17" s="9"/>
      <c r="S17" s="9"/>
      <c r="T17" s="9"/>
      <c r="U17" s="9"/>
      <c r="V17" s="9"/>
      <c r="W17" s="9"/>
      <c r="X17" s="9"/>
      <c r="Z17" s="9"/>
      <c r="AA17" s="9"/>
      <c r="AB17" s="9"/>
      <c r="AC17" s="9"/>
      <c r="AD17" s="9"/>
      <c r="AE17" s="9"/>
      <c r="AF17" s="9"/>
      <c r="AH17" s="9"/>
      <c r="AI17" s="9"/>
      <c r="AJ17" s="9"/>
      <c r="AK17" s="9"/>
      <c r="AL17" s="9"/>
      <c r="AM17" s="9"/>
      <c r="AN17" s="9"/>
      <c r="AP17" s="9"/>
      <c r="AQ17" s="9"/>
      <c r="AR17" s="9"/>
      <c r="AS17" s="9"/>
      <c r="AT17" s="9"/>
      <c r="AU17" s="9"/>
      <c r="AV17" s="9"/>
      <c r="AX17" s="9"/>
      <c r="AY17" s="9"/>
      <c r="AZ17" s="9"/>
      <c r="BA17" s="9"/>
      <c r="BB17" s="9"/>
      <c r="BC17" s="9"/>
      <c r="BD17" s="9"/>
      <c r="BF17" s="9"/>
      <c r="BG17" s="9"/>
      <c r="BH17" s="9"/>
      <c r="BI17" s="9"/>
      <c r="BJ17" s="9"/>
      <c r="BK17" s="9"/>
      <c r="BL17" s="9"/>
      <c r="BN17" s="9"/>
      <c r="BO17" s="9"/>
      <c r="BP17" s="9"/>
      <c r="BQ17" s="9"/>
      <c r="BR17" s="9"/>
      <c r="BS17" s="9"/>
      <c r="BT17" s="9"/>
      <c r="BV17" s="9"/>
      <c r="BW17" s="9"/>
      <c r="BX17" s="9"/>
      <c r="BY17" s="9"/>
      <c r="BZ17" s="9"/>
      <c r="CA17" s="9"/>
      <c r="CB17" s="9"/>
      <c r="CD17" s="9"/>
      <c r="CE17" s="9"/>
      <c r="CF17" s="9"/>
      <c r="CG17" s="9"/>
      <c r="CH17" s="9"/>
      <c r="CI17" s="9"/>
      <c r="CJ17" s="9"/>
    </row>
    <row r="18" spans="1:88" x14ac:dyDescent="0.3">
      <c r="B18" s="9"/>
      <c r="C18" s="9"/>
      <c r="D18" s="9"/>
      <c r="E18" s="9"/>
      <c r="F18" s="9"/>
      <c r="G18" s="9"/>
      <c r="H18" s="9"/>
      <c r="J18" s="9"/>
      <c r="K18" s="9"/>
      <c r="L18" s="9"/>
      <c r="M18" s="9"/>
      <c r="N18" s="9"/>
      <c r="O18" s="9"/>
      <c r="P18" s="9"/>
      <c r="R18" s="9"/>
      <c r="S18" s="9"/>
      <c r="T18" s="9"/>
      <c r="U18" s="9"/>
      <c r="V18" s="9"/>
      <c r="W18" s="9"/>
      <c r="X18" s="9"/>
      <c r="Z18" s="9"/>
      <c r="AA18" s="9"/>
      <c r="AB18" s="9"/>
      <c r="AC18" s="9"/>
      <c r="AD18" s="9"/>
      <c r="AE18" s="9"/>
      <c r="AF18" s="9"/>
      <c r="AH18" s="9"/>
      <c r="AI18" s="9"/>
      <c r="AJ18" s="9"/>
      <c r="AK18" s="9"/>
      <c r="AL18" s="9"/>
      <c r="AM18" s="9"/>
      <c r="AN18" s="9"/>
      <c r="AP18" s="9"/>
      <c r="AQ18" s="9"/>
      <c r="AR18" s="9"/>
      <c r="AS18" s="9"/>
      <c r="AT18" s="9"/>
      <c r="AU18" s="9"/>
      <c r="AV18" s="9"/>
      <c r="AX18" s="9"/>
      <c r="AY18" s="9"/>
      <c r="AZ18" s="9"/>
      <c r="BA18" s="9"/>
      <c r="BB18" s="9"/>
      <c r="BC18" s="9"/>
      <c r="BD18" s="9"/>
      <c r="BF18" s="9"/>
      <c r="BG18" s="9"/>
      <c r="BH18" s="9"/>
      <c r="BI18" s="9"/>
      <c r="BJ18" s="9"/>
      <c r="BK18" s="9"/>
      <c r="BL18" s="9"/>
      <c r="BN18" s="9"/>
      <c r="BO18" s="9"/>
      <c r="BP18" s="9"/>
      <c r="BQ18" s="9"/>
      <c r="BR18" s="9"/>
      <c r="BS18" s="9"/>
      <c r="BT18" s="9"/>
      <c r="BV18" s="9"/>
      <c r="BW18" s="9"/>
      <c r="BX18" s="9"/>
      <c r="BY18" s="9"/>
      <c r="BZ18" s="9"/>
      <c r="CA18" s="9"/>
      <c r="CB18" s="9"/>
      <c r="CD18" s="9"/>
      <c r="CE18" s="9"/>
      <c r="CF18" s="9"/>
      <c r="CG18" s="9"/>
      <c r="CH18" s="9"/>
      <c r="CI18" s="9"/>
      <c r="CJ18" s="9"/>
    </row>
    <row r="19" spans="1:88" x14ac:dyDescent="0.3">
      <c r="B19" s="9"/>
      <c r="C19" s="9"/>
      <c r="D19" s="9"/>
      <c r="E19" s="9"/>
      <c r="F19" s="9"/>
      <c r="G19" s="9"/>
      <c r="H19" s="9"/>
      <c r="J19" s="9"/>
      <c r="K19" s="9"/>
      <c r="L19" s="9"/>
      <c r="M19" s="9"/>
      <c r="N19" s="9"/>
      <c r="O19" s="9"/>
      <c r="P19" s="9"/>
      <c r="R19" s="9"/>
      <c r="S19" s="9"/>
      <c r="T19" s="9"/>
      <c r="U19" s="9"/>
      <c r="V19" s="9"/>
      <c r="W19" s="9"/>
      <c r="X19" s="9"/>
      <c r="Z19" s="9"/>
      <c r="AA19" s="9"/>
      <c r="AB19" s="9"/>
      <c r="AC19" s="9"/>
      <c r="AD19" s="9"/>
      <c r="AE19" s="9"/>
      <c r="AF19" s="9"/>
      <c r="AH19" s="9"/>
      <c r="AI19" s="9"/>
      <c r="AJ19" s="9"/>
      <c r="AK19" s="9"/>
      <c r="AL19" s="9"/>
      <c r="AM19" s="9"/>
      <c r="AN19" s="9"/>
      <c r="AP19" s="9"/>
      <c r="AQ19" s="9"/>
      <c r="AR19" s="9"/>
      <c r="AS19" s="9"/>
      <c r="AT19" s="9"/>
      <c r="AU19" s="9"/>
      <c r="AV19" s="9"/>
      <c r="AX19" s="9"/>
      <c r="AY19" s="9"/>
      <c r="AZ19" s="9"/>
      <c r="BA19" s="9"/>
      <c r="BB19" s="9"/>
      <c r="BC19" s="9"/>
      <c r="BD19" s="9"/>
      <c r="BF19" s="9"/>
      <c r="BG19" s="9"/>
      <c r="BH19" s="9"/>
      <c r="BI19" s="9"/>
      <c r="BJ19" s="9"/>
      <c r="BK19" s="9"/>
      <c r="BL19" s="9"/>
      <c r="BN19" s="9"/>
      <c r="BO19" s="9"/>
      <c r="BP19" s="9"/>
      <c r="BQ19" s="9"/>
      <c r="BR19" s="9"/>
      <c r="BS19" s="9"/>
      <c r="BT19" s="9"/>
      <c r="BV19" s="9"/>
      <c r="BW19" s="9"/>
      <c r="BX19" s="9"/>
      <c r="BY19" s="9"/>
      <c r="BZ19" s="9"/>
      <c r="CA19" s="9"/>
      <c r="CB19" s="9"/>
      <c r="CD19" s="9"/>
      <c r="CE19" s="9"/>
      <c r="CF19" s="9"/>
      <c r="CG19" s="9"/>
      <c r="CH19" s="9"/>
      <c r="CI19" s="9"/>
      <c r="CJ19" s="9"/>
    </row>
    <row r="20" spans="1:88" x14ac:dyDescent="0.3">
      <c r="B20" s="9"/>
      <c r="C20" s="9"/>
      <c r="D20" s="9"/>
      <c r="E20" s="9"/>
      <c r="F20" s="9"/>
      <c r="G20" s="9"/>
      <c r="H20" s="9"/>
      <c r="J20" s="9"/>
      <c r="K20" s="9"/>
      <c r="L20" s="9"/>
      <c r="M20" s="9"/>
      <c r="N20" s="9"/>
      <c r="O20" s="9"/>
      <c r="P20" s="9"/>
      <c r="R20" s="9"/>
      <c r="S20" s="9"/>
      <c r="T20" s="9"/>
      <c r="U20" s="9"/>
      <c r="V20" s="9"/>
      <c r="W20" s="9"/>
      <c r="X20" s="9"/>
      <c r="Z20" s="9"/>
      <c r="AA20" s="9"/>
      <c r="AB20" s="9"/>
      <c r="AC20" s="9"/>
      <c r="AD20" s="9"/>
      <c r="AE20" s="9"/>
      <c r="AF20" s="9"/>
      <c r="AH20" s="9"/>
      <c r="AI20" s="9"/>
      <c r="AJ20" s="9"/>
      <c r="AK20" s="9"/>
      <c r="AL20" s="9"/>
      <c r="AM20" s="9"/>
      <c r="AN20" s="9"/>
      <c r="AP20" s="9"/>
      <c r="AQ20" s="9"/>
      <c r="AR20" s="9"/>
      <c r="AS20" s="9"/>
      <c r="AT20" s="9"/>
      <c r="AU20" s="9"/>
      <c r="AV20" s="9"/>
      <c r="AX20" s="9"/>
      <c r="AY20" s="9"/>
      <c r="AZ20" s="9"/>
      <c r="BA20" s="9"/>
      <c r="BB20" s="9"/>
      <c r="BC20" s="9"/>
      <c r="BD20" s="9"/>
      <c r="BF20" s="9"/>
      <c r="BG20" s="9"/>
      <c r="BH20" s="9"/>
      <c r="BI20" s="9"/>
      <c r="BJ20" s="9"/>
      <c r="BK20" s="9"/>
      <c r="BL20" s="9"/>
      <c r="BN20" s="9"/>
      <c r="BO20" s="9"/>
      <c r="BP20" s="9"/>
      <c r="BQ20" s="9"/>
      <c r="BR20" s="9"/>
      <c r="BS20" s="9"/>
      <c r="BT20" s="9"/>
      <c r="BV20" s="9"/>
      <c r="BW20" s="9"/>
      <c r="BX20" s="9"/>
      <c r="BY20" s="9"/>
      <c r="BZ20" s="9"/>
      <c r="CA20" s="9"/>
      <c r="CB20" s="9"/>
      <c r="CD20" s="9"/>
      <c r="CE20" s="9"/>
      <c r="CF20" s="9"/>
      <c r="CG20" s="9"/>
      <c r="CH20" s="9"/>
      <c r="CI20" s="9"/>
      <c r="CJ20" s="9"/>
    </row>
    <row r="21" spans="1:88" x14ac:dyDescent="0.3">
      <c r="B21" s="9"/>
      <c r="C21" s="9"/>
      <c r="D21" s="9"/>
      <c r="E21" s="9"/>
      <c r="F21" s="9"/>
      <c r="G21" s="9"/>
      <c r="H21" s="9"/>
      <c r="J21" s="9"/>
      <c r="K21" s="9"/>
      <c r="L21" s="9"/>
      <c r="M21" s="9"/>
      <c r="N21" s="9"/>
      <c r="O21" s="9"/>
      <c r="P21" s="9"/>
      <c r="R21" s="9"/>
      <c r="S21" s="9"/>
      <c r="T21" s="9"/>
      <c r="U21" s="9"/>
      <c r="V21" s="9"/>
      <c r="W21" s="9"/>
      <c r="X21" s="9"/>
      <c r="Z21" s="9"/>
      <c r="AA21" s="9"/>
      <c r="AB21" s="9"/>
      <c r="AC21" s="9"/>
      <c r="AD21" s="9"/>
      <c r="AE21" s="9"/>
      <c r="AF21" s="9"/>
      <c r="AH21" s="9"/>
      <c r="AI21" s="9"/>
      <c r="AJ21" s="9"/>
      <c r="AK21" s="9"/>
      <c r="AL21" s="9"/>
      <c r="AM21" s="9"/>
      <c r="AN21" s="9"/>
      <c r="AP21" s="9"/>
      <c r="AQ21" s="9"/>
      <c r="AR21" s="9"/>
      <c r="AS21" s="9"/>
      <c r="AT21" s="9"/>
      <c r="AU21" s="9"/>
      <c r="AV21" s="9"/>
      <c r="AX21" s="9"/>
      <c r="AY21" s="9"/>
      <c r="AZ21" s="9"/>
      <c r="BA21" s="9"/>
      <c r="BB21" s="9"/>
      <c r="BC21" s="9"/>
      <c r="BD21" s="9"/>
      <c r="BF21" s="9"/>
      <c r="BG21" s="9"/>
      <c r="BH21" s="9"/>
      <c r="BI21" s="9"/>
      <c r="BJ21" s="9"/>
      <c r="BK21" s="9"/>
      <c r="BL21" s="9"/>
      <c r="BN21" s="9"/>
      <c r="BO21" s="9"/>
      <c r="BP21" s="9"/>
      <c r="BQ21" s="9"/>
      <c r="BR21" s="9"/>
      <c r="BS21" s="9"/>
      <c r="BT21" s="9"/>
      <c r="BV21" s="9"/>
      <c r="BW21" s="9"/>
      <c r="BX21" s="9"/>
      <c r="BY21" s="9"/>
      <c r="BZ21" s="9"/>
      <c r="CA21" s="9"/>
      <c r="CB21" s="9"/>
      <c r="CD21" s="9"/>
      <c r="CE21" s="9"/>
      <c r="CF21" s="9"/>
      <c r="CG21" s="9"/>
      <c r="CH21" s="9"/>
      <c r="CI21" s="9"/>
      <c r="CJ21" s="9"/>
    </row>
    <row r="22" spans="1:88" x14ac:dyDescent="0.3">
      <c r="B22" s="9"/>
      <c r="C22" s="9"/>
      <c r="D22" s="9"/>
      <c r="E22" s="9"/>
      <c r="F22" s="9"/>
      <c r="G22" s="9"/>
      <c r="H22" s="9"/>
      <c r="J22" s="9"/>
      <c r="K22" s="9"/>
      <c r="L22" s="9"/>
      <c r="M22" s="9"/>
      <c r="N22" s="9"/>
      <c r="O22" s="9"/>
      <c r="P22" s="9"/>
      <c r="R22" s="9"/>
      <c r="S22" s="9"/>
      <c r="T22" s="9"/>
      <c r="U22" s="9"/>
      <c r="V22" s="9"/>
      <c r="W22" s="9"/>
      <c r="X22" s="9"/>
      <c r="Z22" s="9"/>
      <c r="AA22" s="9"/>
      <c r="AB22" s="9"/>
      <c r="AC22" s="9"/>
      <c r="AD22" s="9"/>
      <c r="AE22" s="9"/>
      <c r="AF22" s="9"/>
      <c r="AH22" s="9"/>
      <c r="AI22" s="9"/>
      <c r="AJ22" s="9"/>
      <c r="AK22" s="9"/>
      <c r="AL22" s="9"/>
      <c r="AM22" s="9"/>
      <c r="AN22" s="9"/>
      <c r="AP22" s="9"/>
      <c r="AQ22" s="9"/>
      <c r="AR22" s="9"/>
      <c r="AS22" s="9"/>
      <c r="AT22" s="9"/>
      <c r="AU22" s="9"/>
      <c r="AV22" s="9"/>
      <c r="AX22" s="9"/>
      <c r="AY22" s="9"/>
      <c r="AZ22" s="9"/>
      <c r="BA22" s="9"/>
      <c r="BB22" s="9"/>
      <c r="BC22" s="9"/>
      <c r="BD22" s="9"/>
      <c r="BF22" s="9"/>
      <c r="BG22" s="9"/>
      <c r="BH22" s="9"/>
      <c r="BI22" s="9"/>
      <c r="BJ22" s="9"/>
      <c r="BK22" s="9"/>
      <c r="BL22" s="9"/>
      <c r="BN22" s="9"/>
      <c r="BO22" s="9"/>
      <c r="BP22" s="9"/>
      <c r="BQ22" s="9"/>
      <c r="BR22" s="9"/>
      <c r="BS22" s="9"/>
      <c r="BT22" s="9"/>
      <c r="BV22" s="9"/>
      <c r="BW22" s="9"/>
      <c r="BX22" s="9"/>
      <c r="BY22" s="9"/>
      <c r="BZ22" s="9"/>
      <c r="CA22" s="9"/>
      <c r="CB22" s="9"/>
      <c r="CD22" s="9"/>
      <c r="CE22" s="9"/>
      <c r="CF22" s="9"/>
      <c r="CG22" s="9"/>
      <c r="CH22" s="9"/>
      <c r="CI22" s="9"/>
      <c r="CJ22" s="9"/>
    </row>
    <row r="23" spans="1:88" x14ac:dyDescent="0.3">
      <c r="B23" s="9"/>
      <c r="C23" s="9"/>
      <c r="D23" s="9"/>
      <c r="E23" s="9"/>
      <c r="F23" s="9"/>
      <c r="G23" s="9"/>
      <c r="H23" s="9"/>
      <c r="J23" s="9"/>
      <c r="K23" s="9"/>
      <c r="L23" s="9"/>
      <c r="M23" s="9"/>
      <c r="N23" s="9"/>
      <c r="O23" s="9"/>
      <c r="P23" s="9"/>
      <c r="R23" s="9"/>
      <c r="S23" s="9"/>
      <c r="T23" s="9"/>
      <c r="U23" s="9"/>
      <c r="V23" s="9"/>
      <c r="W23" s="9"/>
      <c r="X23" s="9"/>
      <c r="Z23" s="9"/>
      <c r="AA23" s="9"/>
      <c r="AB23" s="9"/>
      <c r="AC23" s="9"/>
      <c r="AD23" s="9"/>
      <c r="AE23" s="9"/>
      <c r="AF23" s="9"/>
      <c r="AH23" s="9"/>
      <c r="AI23" s="9"/>
      <c r="AJ23" s="9"/>
      <c r="AK23" s="9"/>
      <c r="AL23" s="9"/>
      <c r="AM23" s="9"/>
      <c r="AN23" s="9"/>
      <c r="AP23" s="9"/>
      <c r="AQ23" s="9"/>
      <c r="AR23" s="9"/>
      <c r="AS23" s="9"/>
      <c r="AT23" s="9"/>
      <c r="AU23" s="9"/>
      <c r="AV23" s="9"/>
      <c r="AX23" s="9"/>
      <c r="AY23" s="9"/>
      <c r="AZ23" s="9"/>
      <c r="BA23" s="9"/>
      <c r="BB23" s="9"/>
      <c r="BC23" s="9"/>
      <c r="BD23" s="9"/>
      <c r="BF23" s="9"/>
      <c r="BG23" s="9"/>
      <c r="BH23" s="9"/>
      <c r="BI23" s="9"/>
      <c r="BJ23" s="9"/>
      <c r="BK23" s="9"/>
      <c r="BL23" s="9"/>
      <c r="BN23" s="9"/>
      <c r="BO23" s="9"/>
      <c r="BP23" s="9"/>
      <c r="BQ23" s="9"/>
      <c r="BR23" s="9"/>
      <c r="BS23" s="9"/>
      <c r="BT23" s="9"/>
      <c r="BV23" s="9"/>
      <c r="BW23" s="9"/>
      <c r="BX23" s="9"/>
      <c r="BY23" s="9"/>
      <c r="BZ23" s="9"/>
      <c r="CA23" s="9"/>
      <c r="CB23" s="9"/>
      <c r="CD23" s="9"/>
      <c r="CE23" s="9"/>
      <c r="CF23" s="9"/>
      <c r="CG23" s="9"/>
      <c r="CH23" s="9"/>
      <c r="CI23" s="9"/>
      <c r="CJ23" s="9"/>
    </row>
    <row r="24" spans="1:88" x14ac:dyDescent="0.3">
      <c r="B24" s="9"/>
      <c r="C24" s="9"/>
      <c r="D24" s="9"/>
      <c r="E24" s="9"/>
      <c r="F24" s="9"/>
      <c r="G24" s="9"/>
      <c r="H24" s="9"/>
      <c r="J24" s="9"/>
      <c r="K24" s="9"/>
      <c r="L24" s="9"/>
      <c r="M24" s="9"/>
      <c r="N24" s="9"/>
      <c r="O24" s="9"/>
      <c r="P24" s="9"/>
      <c r="R24" s="9"/>
      <c r="S24" s="9"/>
      <c r="T24" s="9"/>
      <c r="U24" s="9"/>
      <c r="V24" s="9"/>
      <c r="W24" s="9"/>
      <c r="X24" s="9"/>
      <c r="Z24" s="9"/>
      <c r="AA24" s="9"/>
      <c r="AB24" s="9"/>
      <c r="AC24" s="9"/>
      <c r="AD24" s="9"/>
      <c r="AE24" s="9"/>
      <c r="AF24" s="9"/>
      <c r="AH24" s="9"/>
      <c r="AI24" s="9"/>
      <c r="AJ24" s="9"/>
      <c r="AK24" s="9"/>
      <c r="AL24" s="9"/>
      <c r="AM24" s="9"/>
      <c r="AN24" s="9"/>
      <c r="AP24" s="9"/>
      <c r="AQ24" s="9"/>
      <c r="AR24" s="9"/>
      <c r="AS24" s="9"/>
      <c r="AT24" s="9"/>
      <c r="AU24" s="9"/>
      <c r="AV24" s="9"/>
      <c r="AX24" s="9"/>
      <c r="AY24" s="9"/>
      <c r="AZ24" s="9"/>
      <c r="BA24" s="9"/>
      <c r="BB24" s="9"/>
      <c r="BC24" s="9"/>
      <c r="BD24" s="9"/>
      <c r="BF24" s="9"/>
      <c r="BG24" s="9"/>
      <c r="BH24" s="9"/>
      <c r="BI24" s="9"/>
      <c r="BJ24" s="9"/>
      <c r="BK24" s="9"/>
      <c r="BL24" s="9"/>
      <c r="BN24" s="9"/>
      <c r="BO24" s="9"/>
      <c r="BP24" s="9"/>
      <c r="BQ24" s="9"/>
      <c r="BR24" s="9"/>
      <c r="BS24" s="9"/>
      <c r="BT24" s="9"/>
      <c r="BV24" s="9"/>
      <c r="BW24" s="9"/>
      <c r="BX24" s="9"/>
      <c r="BY24" s="9"/>
      <c r="BZ24" s="9"/>
      <c r="CA24" s="9"/>
      <c r="CB24" s="9"/>
      <c r="CD24" s="9"/>
      <c r="CE24" s="9"/>
      <c r="CF24" s="9"/>
      <c r="CG24" s="9"/>
      <c r="CH24" s="9"/>
      <c r="CI24" s="9"/>
      <c r="CJ24" s="9"/>
    </row>
    <row r="25" spans="1:88" x14ac:dyDescent="0.3">
      <c r="B25" s="9"/>
      <c r="C25" s="9"/>
      <c r="D25" s="9"/>
      <c r="E25" s="9"/>
      <c r="F25" s="9"/>
      <c r="G25" s="9"/>
      <c r="H25" s="9"/>
      <c r="J25" s="9"/>
      <c r="K25" s="9"/>
      <c r="L25" s="9"/>
      <c r="M25" s="9"/>
      <c r="N25" s="9"/>
      <c r="O25" s="9"/>
      <c r="P25" s="9"/>
      <c r="R25" s="9"/>
      <c r="S25" s="9"/>
      <c r="T25" s="9"/>
      <c r="U25" s="9"/>
      <c r="V25" s="9"/>
      <c r="W25" s="9"/>
      <c r="X25" s="9"/>
      <c r="Z25" s="9"/>
      <c r="AA25" s="9"/>
      <c r="AB25" s="9"/>
      <c r="AC25" s="9"/>
      <c r="AD25" s="9"/>
      <c r="AE25" s="9"/>
      <c r="AF25" s="9"/>
      <c r="AH25" s="9"/>
      <c r="AI25" s="9"/>
      <c r="AJ25" s="9"/>
      <c r="AK25" s="9"/>
      <c r="AL25" s="9"/>
      <c r="AM25" s="9"/>
      <c r="AN25" s="9"/>
      <c r="AP25" s="9"/>
      <c r="AQ25" s="9"/>
      <c r="AR25" s="9"/>
      <c r="AS25" s="9"/>
      <c r="AT25" s="9"/>
      <c r="AU25" s="9"/>
      <c r="AV25" s="9"/>
      <c r="AX25" s="9"/>
      <c r="AY25" s="9"/>
      <c r="AZ25" s="9"/>
      <c r="BA25" s="9"/>
      <c r="BB25" s="9"/>
      <c r="BC25" s="9"/>
      <c r="BD25" s="9"/>
      <c r="BF25" s="9"/>
      <c r="BG25" s="9"/>
      <c r="BH25" s="9"/>
      <c r="BI25" s="9"/>
      <c r="BJ25" s="9"/>
      <c r="BK25" s="9"/>
      <c r="BL25" s="9"/>
      <c r="BN25" s="9"/>
      <c r="BO25" s="9"/>
      <c r="BP25" s="9"/>
      <c r="BQ25" s="9"/>
      <c r="BR25" s="9"/>
      <c r="BS25" s="9"/>
      <c r="BT25" s="9"/>
      <c r="BV25" s="9"/>
      <c r="BW25" s="9"/>
      <c r="BX25" s="9"/>
      <c r="BY25" s="9"/>
      <c r="BZ25" s="9"/>
      <c r="CA25" s="9"/>
      <c r="CB25" s="9"/>
      <c r="CD25" s="9"/>
      <c r="CE25" s="9"/>
      <c r="CF25" s="9"/>
      <c r="CG25" s="9"/>
      <c r="CH25" s="9"/>
      <c r="CI25" s="9"/>
      <c r="CJ25" s="9"/>
    </row>
    <row r="26" spans="1:88" x14ac:dyDescent="0.3">
      <c r="B26" s="5"/>
      <c r="C26" s="5"/>
      <c r="D26" s="5"/>
      <c r="E26" s="5"/>
      <c r="F26" s="5"/>
      <c r="G26" s="5"/>
      <c r="H26" s="5"/>
      <c r="J26" s="5"/>
      <c r="K26" s="5"/>
      <c r="L26" s="5"/>
      <c r="M26" s="5"/>
      <c r="N26" s="5"/>
      <c r="O26" s="5"/>
      <c r="P26" s="5"/>
      <c r="R26" s="5"/>
      <c r="S26" s="5"/>
      <c r="T26" s="5"/>
      <c r="U26" s="5"/>
      <c r="V26" s="5"/>
      <c r="W26" s="5"/>
      <c r="X26" s="5"/>
      <c r="Z26" s="5"/>
      <c r="AA26" s="5"/>
      <c r="AB26" s="5"/>
      <c r="AC26" s="5"/>
      <c r="AD26" s="5"/>
      <c r="AE26" s="5"/>
      <c r="AF26" s="5"/>
      <c r="AH26" s="5"/>
      <c r="AI26" s="5"/>
      <c r="AJ26" s="5"/>
      <c r="AK26" s="5"/>
      <c r="AL26" s="5"/>
      <c r="AM26" s="5"/>
      <c r="AN26" s="5"/>
      <c r="AP26" s="5"/>
      <c r="AQ26" s="5"/>
      <c r="AR26" s="5"/>
      <c r="AS26" s="5"/>
      <c r="AT26" s="5"/>
      <c r="AU26" s="5"/>
      <c r="AV26" s="5"/>
      <c r="AX26" s="5"/>
      <c r="AY26" s="5"/>
      <c r="AZ26" s="5"/>
      <c r="BA26" s="5"/>
      <c r="BB26" s="5"/>
      <c r="BC26" s="5"/>
      <c r="BD26" s="5"/>
      <c r="BF26" s="5"/>
      <c r="BG26" s="5"/>
      <c r="BH26" s="5"/>
      <c r="BI26" s="5"/>
      <c r="BJ26" s="5"/>
      <c r="BK26" s="5"/>
      <c r="BL26" s="5"/>
      <c r="BN26" s="5"/>
      <c r="BO26" s="5"/>
      <c r="BP26" s="5"/>
      <c r="BQ26" s="5"/>
      <c r="BR26" s="5"/>
      <c r="BS26" s="5"/>
      <c r="BT26" s="5"/>
      <c r="BV26" s="5"/>
      <c r="BW26" s="5"/>
      <c r="BX26" s="5"/>
      <c r="BY26" s="5"/>
      <c r="BZ26" s="5"/>
      <c r="CA26" s="5"/>
      <c r="CB26" s="5"/>
      <c r="CD26" s="5"/>
      <c r="CE26" s="5"/>
      <c r="CF26" s="5"/>
      <c r="CG26" s="5"/>
      <c r="CH26" s="5"/>
      <c r="CI26" s="5"/>
      <c r="CJ26" s="5"/>
    </row>
    <row r="27" spans="1:88" x14ac:dyDescent="0.3">
      <c r="A27" s="16" t="s">
        <v>46</v>
      </c>
      <c r="B27" s="9"/>
      <c r="C27" s="9"/>
      <c r="D27" s="9"/>
      <c r="E27" s="9"/>
      <c r="F27" s="9"/>
      <c r="G27" s="9"/>
      <c r="H27" s="9"/>
      <c r="J27" s="9"/>
      <c r="K27" s="9"/>
      <c r="L27" s="9"/>
      <c r="M27" s="9"/>
      <c r="N27" s="9"/>
      <c r="O27" s="9"/>
      <c r="P27" s="9"/>
      <c r="R27" s="9"/>
      <c r="S27" s="9"/>
      <c r="T27" s="9"/>
      <c r="U27" s="9"/>
      <c r="V27" s="9"/>
      <c r="W27" s="9"/>
      <c r="X27" s="9"/>
      <c r="Z27" s="9"/>
      <c r="AA27" s="9"/>
      <c r="AB27" s="9"/>
      <c r="AC27" s="9"/>
      <c r="AD27" s="9"/>
      <c r="AE27" s="9"/>
      <c r="AF27" s="9"/>
      <c r="AH27" s="9"/>
      <c r="AI27" s="9"/>
      <c r="AJ27" s="9"/>
      <c r="AK27" s="9"/>
      <c r="AL27" s="9"/>
      <c r="AM27" s="9"/>
      <c r="AN27" s="9"/>
      <c r="AP27" s="9"/>
      <c r="AQ27" s="9"/>
      <c r="AR27" s="9"/>
      <c r="AS27" s="9"/>
      <c r="AT27" s="9"/>
      <c r="AU27" s="9"/>
      <c r="AV27" s="9"/>
      <c r="AX27" s="9"/>
      <c r="AY27" s="9"/>
      <c r="AZ27" s="9"/>
      <c r="BA27" s="9"/>
      <c r="BB27" s="9"/>
      <c r="BC27" s="9"/>
      <c r="BD27" s="9"/>
      <c r="BF27" s="9"/>
      <c r="BG27" s="9"/>
      <c r="BH27" s="9"/>
      <c r="BI27" s="9"/>
      <c r="BJ27" s="9"/>
      <c r="BK27" s="9"/>
      <c r="BL27" s="9"/>
      <c r="BN27" s="9"/>
      <c r="BO27" s="9"/>
      <c r="BP27" s="9"/>
      <c r="BQ27" s="9"/>
      <c r="BR27" s="9"/>
      <c r="BS27" s="9"/>
      <c r="BT27" s="9"/>
      <c r="BV27" s="9"/>
      <c r="BW27" s="9"/>
      <c r="BX27" s="9"/>
      <c r="BY27" s="9"/>
      <c r="BZ27" s="9"/>
      <c r="CA27" s="9"/>
      <c r="CB27" s="9"/>
      <c r="CD27" s="9"/>
      <c r="CE27" s="9"/>
      <c r="CF27" s="9"/>
      <c r="CG27" s="9"/>
      <c r="CH27" s="9"/>
      <c r="CI27" s="9"/>
      <c r="CJ27" s="9"/>
    </row>
    <row r="28" spans="1:88" x14ac:dyDescent="0.3">
      <c r="B28" s="9"/>
      <c r="C28" s="9"/>
      <c r="D28" s="9"/>
      <c r="E28" s="9"/>
      <c r="F28" s="9"/>
      <c r="G28" s="9"/>
      <c r="H28" s="9"/>
      <c r="J28" s="9"/>
      <c r="K28" s="9"/>
      <c r="L28" s="9"/>
      <c r="M28" s="9"/>
      <c r="N28" s="9"/>
      <c r="O28" s="9"/>
      <c r="P28" s="9"/>
      <c r="R28" s="9"/>
      <c r="S28" s="9"/>
      <c r="T28" s="9"/>
      <c r="U28" s="9"/>
      <c r="V28" s="9"/>
      <c r="W28" s="9"/>
      <c r="X28" s="9"/>
      <c r="Z28" s="9"/>
      <c r="AA28" s="9"/>
      <c r="AB28" s="9"/>
      <c r="AC28" s="9"/>
      <c r="AD28" s="9"/>
      <c r="AE28" s="9"/>
      <c r="AF28" s="9"/>
      <c r="AH28" s="9"/>
      <c r="AI28" s="9"/>
      <c r="AJ28" s="9"/>
      <c r="AK28" s="9"/>
      <c r="AL28" s="9"/>
      <c r="AM28" s="9"/>
      <c r="AN28" s="9"/>
      <c r="AP28" s="9"/>
      <c r="AQ28" s="9"/>
      <c r="AR28" s="9"/>
      <c r="AS28" s="9"/>
      <c r="AT28" s="9"/>
      <c r="AU28" s="9"/>
      <c r="AV28" s="9"/>
      <c r="AX28" s="9"/>
      <c r="AY28" s="9"/>
      <c r="AZ28" s="9"/>
      <c r="BA28" s="9"/>
      <c r="BB28" s="9"/>
      <c r="BC28" s="9"/>
      <c r="BD28" s="9"/>
      <c r="BF28" s="9"/>
      <c r="BG28" s="9"/>
      <c r="BH28" s="9"/>
      <c r="BI28" s="9"/>
      <c r="BJ28" s="9"/>
      <c r="BK28" s="9"/>
      <c r="BL28" s="9"/>
      <c r="BN28" s="9"/>
      <c r="BO28" s="9"/>
      <c r="BP28" s="9"/>
      <c r="BQ28" s="9"/>
      <c r="BR28" s="9"/>
      <c r="BS28" s="9"/>
      <c r="BT28" s="9"/>
      <c r="BV28" s="9"/>
      <c r="BW28" s="9"/>
      <c r="BX28" s="9"/>
      <c r="BY28" s="9"/>
      <c r="BZ28" s="9"/>
      <c r="CA28" s="9"/>
      <c r="CB28" s="9"/>
      <c r="CD28" s="9"/>
      <c r="CE28" s="9"/>
      <c r="CF28" s="9"/>
      <c r="CG28" s="9"/>
      <c r="CH28" s="9"/>
      <c r="CI28" s="9"/>
      <c r="CJ28" s="9"/>
    </row>
    <row r="29" spans="1:88" x14ac:dyDescent="0.3">
      <c r="B29" s="9"/>
      <c r="C29" s="9"/>
      <c r="D29" s="9"/>
      <c r="E29" s="9"/>
      <c r="F29" s="9"/>
      <c r="G29" s="9"/>
      <c r="H29" s="9"/>
      <c r="J29" s="9"/>
      <c r="K29" s="9"/>
      <c r="L29" s="9"/>
      <c r="M29" s="9"/>
      <c r="N29" s="9"/>
      <c r="O29" s="9"/>
      <c r="P29" s="9"/>
      <c r="R29" s="9"/>
      <c r="S29" s="9"/>
      <c r="T29" s="9"/>
      <c r="U29" s="9"/>
      <c r="V29" s="9"/>
      <c r="W29" s="9"/>
      <c r="X29" s="9"/>
      <c r="Z29" s="9"/>
      <c r="AA29" s="9"/>
      <c r="AB29" s="9"/>
      <c r="AC29" s="9"/>
      <c r="AD29" s="9"/>
      <c r="AE29" s="9"/>
      <c r="AF29" s="9"/>
      <c r="AH29" s="9"/>
      <c r="AI29" s="9"/>
      <c r="AJ29" s="9"/>
      <c r="AK29" s="9"/>
      <c r="AL29" s="9"/>
      <c r="AM29" s="9"/>
      <c r="AN29" s="9"/>
      <c r="AP29" s="9"/>
      <c r="AQ29" s="9"/>
      <c r="AR29" s="9"/>
      <c r="AS29" s="9"/>
      <c r="AT29" s="9"/>
      <c r="AU29" s="9"/>
      <c r="AV29" s="9"/>
      <c r="AX29" s="9"/>
      <c r="AY29" s="9"/>
      <c r="AZ29" s="9"/>
      <c r="BA29" s="9"/>
      <c r="BB29" s="9"/>
      <c r="BC29" s="9"/>
      <c r="BD29" s="9"/>
      <c r="BF29" s="9"/>
      <c r="BG29" s="9"/>
      <c r="BH29" s="9"/>
      <c r="BI29" s="9"/>
      <c r="BJ29" s="9"/>
      <c r="BK29" s="9"/>
      <c r="BL29" s="9"/>
      <c r="BN29" s="9"/>
      <c r="BO29" s="9"/>
      <c r="BP29" s="9"/>
      <c r="BQ29" s="9"/>
      <c r="BR29" s="9"/>
      <c r="BS29" s="9"/>
      <c r="BT29" s="9"/>
      <c r="BV29" s="9"/>
      <c r="BW29" s="9"/>
      <c r="BX29" s="9"/>
      <c r="BY29" s="9"/>
      <c r="BZ29" s="9"/>
      <c r="CA29" s="9"/>
      <c r="CB29" s="9"/>
      <c r="CD29" s="9"/>
      <c r="CE29" s="9"/>
      <c r="CF29" s="9"/>
      <c r="CG29" s="9"/>
      <c r="CH29" s="9"/>
      <c r="CI29" s="9"/>
      <c r="CJ29" s="9"/>
    </row>
    <row r="30" spans="1:88" x14ac:dyDescent="0.3">
      <c r="B30" s="9"/>
      <c r="C30" s="9"/>
      <c r="D30" s="9"/>
      <c r="E30" s="9"/>
      <c r="F30" s="9"/>
      <c r="G30" s="9"/>
      <c r="H30" s="9"/>
      <c r="J30" s="9"/>
      <c r="K30" s="9"/>
      <c r="L30" s="9"/>
      <c r="M30" s="9"/>
      <c r="N30" s="9"/>
      <c r="O30" s="9"/>
      <c r="P30" s="9"/>
      <c r="R30" s="9"/>
      <c r="S30" s="9"/>
      <c r="T30" s="9"/>
      <c r="U30" s="9"/>
      <c r="V30" s="9"/>
      <c r="W30" s="9"/>
      <c r="X30" s="9"/>
      <c r="Z30" s="9"/>
      <c r="AA30" s="9"/>
      <c r="AB30" s="9"/>
      <c r="AC30" s="9"/>
      <c r="AD30" s="9"/>
      <c r="AE30" s="9"/>
      <c r="AF30" s="9"/>
      <c r="AH30" s="9"/>
      <c r="AI30" s="9"/>
      <c r="AJ30" s="9"/>
      <c r="AK30" s="9"/>
      <c r="AL30" s="9"/>
      <c r="AM30" s="9"/>
      <c r="AN30" s="9"/>
      <c r="AP30" s="9"/>
      <c r="AQ30" s="9"/>
      <c r="AR30" s="9"/>
      <c r="AS30" s="9"/>
      <c r="AT30" s="9"/>
      <c r="AU30" s="9"/>
      <c r="AV30" s="9"/>
      <c r="AX30" s="9"/>
      <c r="AY30" s="9"/>
      <c r="AZ30" s="9"/>
      <c r="BA30" s="9"/>
      <c r="BB30" s="9"/>
      <c r="BC30" s="9"/>
      <c r="BD30" s="9"/>
      <c r="BF30" s="9"/>
      <c r="BG30" s="9"/>
      <c r="BH30" s="9"/>
      <c r="BI30" s="9"/>
      <c r="BJ30" s="9"/>
      <c r="BK30" s="9"/>
      <c r="BL30" s="9"/>
      <c r="BN30" s="9"/>
      <c r="BO30" s="9"/>
      <c r="BP30" s="9"/>
      <c r="BQ30" s="9"/>
      <c r="BR30" s="9"/>
      <c r="BS30" s="9"/>
      <c r="BT30" s="9"/>
      <c r="BV30" s="9"/>
      <c r="BW30" s="9"/>
      <c r="BX30" s="9"/>
      <c r="BY30" s="9"/>
      <c r="BZ30" s="9"/>
      <c r="CA30" s="9"/>
      <c r="CB30" s="9"/>
      <c r="CD30" s="9"/>
      <c r="CE30" s="9"/>
      <c r="CF30" s="9"/>
      <c r="CG30" s="9"/>
      <c r="CH30" s="9"/>
      <c r="CI30" s="9"/>
      <c r="CJ30" s="9"/>
    </row>
    <row r="31" spans="1:88" x14ac:dyDescent="0.3">
      <c r="B31" s="9"/>
      <c r="C31" s="9"/>
      <c r="D31" s="9"/>
      <c r="E31" s="9"/>
      <c r="F31" s="9"/>
      <c r="G31" s="9"/>
      <c r="H31" s="9"/>
      <c r="J31" s="9"/>
      <c r="K31" s="9"/>
      <c r="L31" s="9"/>
      <c r="M31" s="9"/>
      <c r="N31" s="9"/>
      <c r="O31" s="9"/>
      <c r="P31" s="9"/>
      <c r="R31" s="9"/>
      <c r="S31" s="9"/>
      <c r="T31" s="9"/>
      <c r="U31" s="9"/>
      <c r="V31" s="9"/>
      <c r="W31" s="9"/>
      <c r="X31" s="9"/>
      <c r="Z31" s="9"/>
      <c r="AA31" s="9"/>
      <c r="AB31" s="9"/>
      <c r="AC31" s="9"/>
      <c r="AD31" s="9"/>
      <c r="AE31" s="9"/>
      <c r="AF31" s="9"/>
      <c r="AH31" s="9"/>
      <c r="AI31" s="9"/>
      <c r="AJ31" s="9"/>
      <c r="AK31" s="9"/>
      <c r="AL31" s="9"/>
      <c r="AM31" s="9"/>
      <c r="AN31" s="9"/>
      <c r="AP31" s="9"/>
      <c r="AQ31" s="9"/>
      <c r="AR31" s="9"/>
      <c r="AS31" s="9"/>
      <c r="AT31" s="9"/>
      <c r="AU31" s="9"/>
      <c r="AV31" s="9"/>
      <c r="AX31" s="9"/>
      <c r="AY31" s="9"/>
      <c r="AZ31" s="9"/>
      <c r="BA31" s="9"/>
      <c r="BB31" s="9"/>
      <c r="BC31" s="9"/>
      <c r="BD31" s="9"/>
      <c r="BF31" s="9"/>
      <c r="BG31" s="9"/>
      <c r="BH31" s="9"/>
      <c r="BI31" s="9"/>
      <c r="BJ31" s="9"/>
      <c r="BK31" s="9"/>
      <c r="BL31" s="9"/>
      <c r="BN31" s="9"/>
      <c r="BO31" s="9"/>
      <c r="BP31" s="9"/>
      <c r="BQ31" s="9"/>
      <c r="BR31" s="9"/>
      <c r="BS31" s="9"/>
      <c r="BT31" s="9"/>
      <c r="BV31" s="9"/>
      <c r="BW31" s="9"/>
      <c r="BX31" s="9"/>
      <c r="BY31" s="9"/>
      <c r="BZ31" s="9"/>
      <c r="CA31" s="9"/>
      <c r="CB31" s="9"/>
      <c r="CD31" s="9"/>
      <c r="CE31" s="9"/>
      <c r="CF31" s="9"/>
      <c r="CG31" s="9"/>
      <c r="CH31" s="9"/>
      <c r="CI31" s="9"/>
      <c r="CJ31" s="9"/>
    </row>
    <row r="32" spans="1:88" x14ac:dyDescent="0.3">
      <c r="B32" s="9"/>
      <c r="C32" s="9"/>
      <c r="D32" s="9"/>
      <c r="E32" s="9"/>
      <c r="F32" s="9"/>
      <c r="G32" s="9"/>
      <c r="H32" s="9"/>
      <c r="J32" s="9"/>
      <c r="K32" s="9"/>
      <c r="L32" s="9"/>
      <c r="M32" s="9"/>
      <c r="N32" s="9"/>
      <c r="O32" s="9"/>
      <c r="P32" s="9"/>
      <c r="R32" s="9"/>
      <c r="S32" s="9"/>
      <c r="T32" s="9"/>
      <c r="U32" s="9"/>
      <c r="V32" s="9"/>
      <c r="W32" s="9"/>
      <c r="X32" s="9"/>
      <c r="Z32" s="9"/>
      <c r="AA32" s="9"/>
      <c r="AB32" s="9"/>
      <c r="AC32" s="9"/>
      <c r="AD32" s="9"/>
      <c r="AE32" s="9"/>
      <c r="AF32" s="9"/>
      <c r="AH32" s="9"/>
      <c r="AI32" s="9"/>
      <c r="AJ32" s="9"/>
      <c r="AK32" s="9"/>
      <c r="AL32" s="9"/>
      <c r="AM32" s="9"/>
      <c r="AN32" s="9"/>
      <c r="AP32" s="9"/>
      <c r="AQ32" s="9"/>
      <c r="AR32" s="9"/>
      <c r="AS32" s="9"/>
      <c r="AT32" s="9"/>
      <c r="AU32" s="9"/>
      <c r="AV32" s="9"/>
      <c r="AX32" s="9"/>
      <c r="AY32" s="9"/>
      <c r="AZ32" s="9"/>
      <c r="BA32" s="9"/>
      <c r="BB32" s="9"/>
      <c r="BC32" s="9"/>
      <c r="BD32" s="9"/>
      <c r="BF32" s="9"/>
      <c r="BG32" s="9"/>
      <c r="BH32" s="9"/>
      <c r="BI32" s="9"/>
      <c r="BJ32" s="9"/>
      <c r="BK32" s="9"/>
      <c r="BL32" s="9"/>
      <c r="BN32" s="9"/>
      <c r="BO32" s="9"/>
      <c r="BP32" s="9"/>
      <c r="BQ32" s="9"/>
      <c r="BR32" s="9"/>
      <c r="BS32" s="9"/>
      <c r="BT32" s="9"/>
      <c r="BV32" s="9"/>
      <c r="BW32" s="9"/>
      <c r="BX32" s="9"/>
      <c r="BY32" s="9"/>
      <c r="BZ32" s="9"/>
      <c r="CA32" s="9"/>
      <c r="CB32" s="9"/>
      <c r="CD32" s="9"/>
      <c r="CE32" s="9"/>
      <c r="CF32" s="9"/>
      <c r="CG32" s="9"/>
      <c r="CH32" s="9"/>
      <c r="CI32" s="9"/>
      <c r="CJ32" s="9"/>
    </row>
    <row r="33" spans="1:88" x14ac:dyDescent="0.3">
      <c r="B33" s="9"/>
      <c r="C33" s="9"/>
      <c r="D33" s="9"/>
      <c r="E33" s="9"/>
      <c r="F33" s="9"/>
      <c r="G33" s="9"/>
      <c r="H33" s="9"/>
      <c r="J33" s="9"/>
      <c r="K33" s="9"/>
      <c r="L33" s="9"/>
      <c r="M33" s="9"/>
      <c r="N33" s="9"/>
      <c r="O33" s="9"/>
      <c r="P33" s="9"/>
      <c r="R33" s="9"/>
      <c r="S33" s="9"/>
      <c r="T33" s="9"/>
      <c r="U33" s="9"/>
      <c r="V33" s="9"/>
      <c r="W33" s="9"/>
      <c r="X33" s="9"/>
      <c r="Z33" s="9"/>
      <c r="AA33" s="9"/>
      <c r="AB33" s="9"/>
      <c r="AC33" s="9"/>
      <c r="AD33" s="9"/>
      <c r="AE33" s="9"/>
      <c r="AF33" s="9"/>
      <c r="AH33" s="9"/>
      <c r="AI33" s="9"/>
      <c r="AJ33" s="9"/>
      <c r="AK33" s="9"/>
      <c r="AL33" s="9"/>
      <c r="AM33" s="9"/>
      <c r="AN33" s="9"/>
      <c r="AP33" s="9"/>
      <c r="AQ33" s="9"/>
      <c r="AR33" s="9"/>
      <c r="AS33" s="9"/>
      <c r="AT33" s="9"/>
      <c r="AU33" s="9"/>
      <c r="AV33" s="9"/>
      <c r="AX33" s="9"/>
      <c r="AY33" s="9"/>
      <c r="AZ33" s="9"/>
      <c r="BA33" s="9"/>
      <c r="BB33" s="9"/>
      <c r="BC33" s="9"/>
      <c r="BD33" s="9"/>
      <c r="BF33" s="9"/>
      <c r="BG33" s="9"/>
      <c r="BH33" s="9"/>
      <c r="BI33" s="9"/>
      <c r="BJ33" s="9"/>
      <c r="BK33" s="9"/>
      <c r="BL33" s="9"/>
      <c r="BN33" s="9"/>
      <c r="BO33" s="9"/>
      <c r="BP33" s="9"/>
      <c r="BQ33" s="9"/>
      <c r="BR33" s="9"/>
      <c r="BS33" s="9"/>
      <c r="BT33" s="9"/>
      <c r="BV33" s="9"/>
      <c r="BW33" s="9"/>
      <c r="BX33" s="9"/>
      <c r="BY33" s="9"/>
      <c r="BZ33" s="9"/>
      <c r="CA33" s="9"/>
      <c r="CB33" s="9"/>
      <c r="CD33" s="9"/>
      <c r="CE33" s="9"/>
      <c r="CF33" s="9"/>
      <c r="CG33" s="9"/>
      <c r="CH33" s="9"/>
      <c r="CI33" s="9"/>
      <c r="CJ33" s="9"/>
    </row>
    <row r="34" spans="1:88" x14ac:dyDescent="0.3">
      <c r="B34" s="9"/>
      <c r="C34" s="9"/>
      <c r="D34" s="9"/>
      <c r="E34" s="9"/>
      <c r="F34" s="9"/>
      <c r="G34" s="9"/>
      <c r="H34" s="9"/>
      <c r="J34" s="9"/>
      <c r="K34" s="9"/>
      <c r="L34" s="9"/>
      <c r="M34" s="9"/>
      <c r="N34" s="9"/>
      <c r="O34" s="9"/>
      <c r="P34" s="9"/>
      <c r="R34" s="9"/>
      <c r="S34" s="9"/>
      <c r="T34" s="9"/>
      <c r="U34" s="9"/>
      <c r="V34" s="9"/>
      <c r="W34" s="9"/>
      <c r="X34" s="9"/>
      <c r="Z34" s="9"/>
      <c r="AA34" s="9"/>
      <c r="AB34" s="9"/>
      <c r="AC34" s="9"/>
      <c r="AD34" s="9"/>
      <c r="AE34" s="9"/>
      <c r="AF34" s="9"/>
      <c r="AH34" s="9"/>
      <c r="AI34" s="9"/>
      <c r="AJ34" s="9"/>
      <c r="AK34" s="9"/>
      <c r="AL34" s="9"/>
      <c r="AM34" s="9"/>
      <c r="AN34" s="9"/>
      <c r="AP34" s="9"/>
      <c r="AQ34" s="9"/>
      <c r="AR34" s="9"/>
      <c r="AS34" s="9"/>
      <c r="AT34" s="9"/>
      <c r="AU34" s="9"/>
      <c r="AV34" s="9"/>
      <c r="AX34" s="9"/>
      <c r="AY34" s="9"/>
      <c r="AZ34" s="9"/>
      <c r="BA34" s="9"/>
      <c r="BB34" s="9"/>
      <c r="BC34" s="9"/>
      <c r="BD34" s="9"/>
      <c r="BF34" s="9"/>
      <c r="BG34" s="9"/>
      <c r="BH34" s="9"/>
      <c r="BI34" s="9"/>
      <c r="BJ34" s="9"/>
      <c r="BK34" s="9"/>
      <c r="BL34" s="9"/>
      <c r="BN34" s="9"/>
      <c r="BO34" s="9"/>
      <c r="BP34" s="9"/>
      <c r="BQ34" s="9"/>
      <c r="BR34" s="9"/>
      <c r="BS34" s="9"/>
      <c r="BT34" s="9"/>
      <c r="BV34" s="9"/>
      <c r="BW34" s="9"/>
      <c r="BX34" s="9"/>
      <c r="BY34" s="9"/>
      <c r="BZ34" s="9"/>
      <c r="CA34" s="9"/>
      <c r="CB34" s="9"/>
      <c r="CD34" s="9"/>
      <c r="CE34" s="9"/>
      <c r="CF34" s="9"/>
      <c r="CG34" s="9"/>
      <c r="CH34" s="9"/>
      <c r="CI34" s="9"/>
      <c r="CJ34" s="9"/>
    </row>
    <row r="35" spans="1:88" x14ac:dyDescent="0.3">
      <c r="B35" s="9"/>
      <c r="C35" s="9"/>
      <c r="D35" s="9"/>
      <c r="E35" s="9"/>
      <c r="F35" s="9"/>
      <c r="G35" s="9"/>
      <c r="H35" s="9"/>
      <c r="J35" s="9"/>
      <c r="K35" s="9"/>
      <c r="L35" s="9"/>
      <c r="M35" s="9"/>
      <c r="N35" s="9"/>
      <c r="O35" s="9"/>
      <c r="P35" s="9"/>
      <c r="R35" s="9"/>
      <c r="S35" s="9"/>
      <c r="T35" s="9"/>
      <c r="U35" s="9"/>
      <c r="V35" s="9"/>
      <c r="W35" s="9"/>
      <c r="X35" s="9"/>
      <c r="Z35" s="9"/>
      <c r="AA35" s="9"/>
      <c r="AB35" s="9"/>
      <c r="AC35" s="9"/>
      <c r="AD35" s="9"/>
      <c r="AE35" s="9"/>
      <c r="AF35" s="9"/>
      <c r="AH35" s="9"/>
      <c r="AI35" s="9"/>
      <c r="AJ35" s="9"/>
      <c r="AK35" s="9"/>
      <c r="AL35" s="9"/>
      <c r="AM35" s="9"/>
      <c r="AN35" s="9"/>
      <c r="AP35" s="9"/>
      <c r="AQ35" s="9"/>
      <c r="AR35" s="9"/>
      <c r="AS35" s="9"/>
      <c r="AT35" s="9"/>
      <c r="AU35" s="9"/>
      <c r="AV35" s="9"/>
      <c r="AX35" s="9"/>
      <c r="AY35" s="9"/>
      <c r="AZ35" s="9"/>
      <c r="BA35" s="9"/>
      <c r="BB35" s="9"/>
      <c r="BC35" s="9"/>
      <c r="BD35" s="9"/>
      <c r="BF35" s="9"/>
      <c r="BG35" s="9"/>
      <c r="BH35" s="9"/>
      <c r="BI35" s="9"/>
      <c r="BJ35" s="9"/>
      <c r="BK35" s="9"/>
      <c r="BL35" s="9"/>
      <c r="BN35" s="9"/>
      <c r="BO35" s="9"/>
      <c r="BP35" s="9"/>
      <c r="BQ35" s="9"/>
      <c r="BR35" s="9"/>
      <c r="BS35" s="9"/>
      <c r="BT35" s="9"/>
      <c r="BV35" s="9"/>
      <c r="BW35" s="9"/>
      <c r="BX35" s="9"/>
      <c r="BY35" s="9"/>
      <c r="BZ35" s="9"/>
      <c r="CA35" s="9"/>
      <c r="CB35" s="9"/>
      <c r="CD35" s="9"/>
      <c r="CE35" s="9"/>
      <c r="CF35" s="9"/>
      <c r="CG35" s="9"/>
      <c r="CH35" s="9"/>
      <c r="CI35" s="9"/>
      <c r="CJ35" s="9"/>
    </row>
    <row r="36" spans="1:88" x14ac:dyDescent="0.3">
      <c r="B36" s="9"/>
      <c r="C36" s="9"/>
      <c r="D36" s="9"/>
      <c r="E36" s="9"/>
      <c r="F36" s="9"/>
      <c r="G36" s="9"/>
      <c r="H36" s="9"/>
      <c r="J36" s="9"/>
      <c r="K36" s="9"/>
      <c r="L36" s="9"/>
      <c r="M36" s="9"/>
      <c r="N36" s="9"/>
      <c r="O36" s="9"/>
      <c r="P36" s="9"/>
      <c r="R36" s="9"/>
      <c r="S36" s="9"/>
      <c r="T36" s="9"/>
      <c r="U36" s="9"/>
      <c r="V36" s="9"/>
      <c r="W36" s="9"/>
      <c r="X36" s="9"/>
      <c r="Z36" s="9"/>
      <c r="AA36" s="9"/>
      <c r="AB36" s="9"/>
      <c r="AC36" s="9"/>
      <c r="AD36" s="9"/>
      <c r="AE36" s="9"/>
      <c r="AF36" s="9"/>
      <c r="AH36" s="9"/>
      <c r="AI36" s="9"/>
      <c r="AJ36" s="9"/>
      <c r="AK36" s="9"/>
      <c r="AL36" s="9"/>
      <c r="AM36" s="9"/>
      <c r="AN36" s="9"/>
      <c r="AP36" s="9"/>
      <c r="AQ36" s="9"/>
      <c r="AR36" s="9"/>
      <c r="AS36" s="9"/>
      <c r="AT36" s="9"/>
      <c r="AU36" s="9"/>
      <c r="AV36" s="9"/>
      <c r="AX36" s="9"/>
      <c r="AY36" s="9"/>
      <c r="AZ36" s="9"/>
      <c r="BA36" s="9"/>
      <c r="BB36" s="9"/>
      <c r="BC36" s="9"/>
      <c r="BD36" s="9"/>
      <c r="BF36" s="9"/>
      <c r="BG36" s="9"/>
      <c r="BH36" s="9"/>
      <c r="BI36" s="9"/>
      <c r="BJ36" s="9"/>
      <c r="BK36" s="9"/>
      <c r="BL36" s="9"/>
      <c r="BN36" s="9"/>
      <c r="BO36" s="9"/>
      <c r="BP36" s="9"/>
      <c r="BQ36" s="9"/>
      <c r="BR36" s="9"/>
      <c r="BS36" s="9"/>
      <c r="BT36" s="9"/>
      <c r="BV36" s="9"/>
      <c r="BW36" s="9"/>
      <c r="BX36" s="9"/>
      <c r="BY36" s="9"/>
      <c r="BZ36" s="9"/>
      <c r="CA36" s="9"/>
      <c r="CB36" s="9"/>
      <c r="CD36" s="9"/>
      <c r="CE36" s="9"/>
      <c r="CF36" s="9"/>
      <c r="CG36" s="9"/>
      <c r="CH36" s="9"/>
      <c r="CI36" s="9"/>
      <c r="CJ36" s="9"/>
    </row>
    <row r="37" spans="1:88" x14ac:dyDescent="0.3">
      <c r="B37" s="9"/>
      <c r="C37" s="9"/>
      <c r="D37" s="9"/>
      <c r="E37" s="9"/>
      <c r="F37" s="9"/>
      <c r="G37" s="9"/>
      <c r="H37" s="9"/>
      <c r="J37" s="9"/>
      <c r="K37" s="9"/>
      <c r="L37" s="9"/>
      <c r="M37" s="9"/>
      <c r="N37" s="9"/>
      <c r="O37" s="9"/>
      <c r="P37" s="9"/>
      <c r="R37" s="9"/>
      <c r="S37" s="9"/>
      <c r="T37" s="9"/>
      <c r="U37" s="9"/>
      <c r="V37" s="9"/>
      <c r="W37" s="9"/>
      <c r="X37" s="9"/>
      <c r="Z37" s="9"/>
      <c r="AA37" s="9"/>
      <c r="AB37" s="9"/>
      <c r="AC37" s="9"/>
      <c r="AD37" s="9"/>
      <c r="AE37" s="9"/>
      <c r="AF37" s="9"/>
      <c r="AH37" s="9"/>
      <c r="AI37" s="9"/>
      <c r="AJ37" s="9"/>
      <c r="AK37" s="9"/>
      <c r="AL37" s="9"/>
      <c r="AM37" s="9"/>
      <c r="AN37" s="9"/>
      <c r="AP37" s="9"/>
      <c r="AQ37" s="9"/>
      <c r="AR37" s="9"/>
      <c r="AS37" s="9"/>
      <c r="AT37" s="9"/>
      <c r="AU37" s="9"/>
      <c r="AV37" s="9"/>
      <c r="AX37" s="9"/>
      <c r="AY37" s="9"/>
      <c r="AZ37" s="9"/>
      <c r="BA37" s="9"/>
      <c r="BB37" s="9"/>
      <c r="BC37" s="9"/>
      <c r="BD37" s="9"/>
      <c r="BF37" s="9"/>
      <c r="BG37" s="9"/>
      <c r="BH37" s="9"/>
      <c r="BI37" s="9"/>
      <c r="BJ37" s="9"/>
      <c r="BK37" s="9"/>
      <c r="BL37" s="9"/>
      <c r="BN37" s="9"/>
      <c r="BO37" s="9"/>
      <c r="BP37" s="9"/>
      <c r="BQ37" s="9"/>
      <c r="BR37" s="9"/>
      <c r="BS37" s="9"/>
      <c r="BT37" s="9"/>
      <c r="BV37" s="9"/>
      <c r="BW37" s="9"/>
      <c r="BX37" s="9"/>
      <c r="BY37" s="9"/>
      <c r="BZ37" s="9"/>
      <c r="CA37" s="9"/>
      <c r="CB37" s="9"/>
      <c r="CD37" s="9"/>
      <c r="CE37" s="9"/>
      <c r="CF37" s="9"/>
      <c r="CG37" s="9"/>
      <c r="CH37" s="9"/>
      <c r="CI37" s="9"/>
      <c r="CJ37" s="9"/>
    </row>
    <row r="38" spans="1:88" x14ac:dyDescent="0.3">
      <c r="B38" s="5"/>
      <c r="C38" s="5"/>
      <c r="D38" s="5"/>
      <c r="E38" s="5"/>
      <c r="F38" s="5"/>
      <c r="G38" s="5"/>
      <c r="H38" s="5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  <c r="Z38" s="5"/>
      <c r="AA38" s="5"/>
      <c r="AB38" s="5"/>
      <c r="AC38" s="5"/>
      <c r="AD38" s="5"/>
      <c r="AE38" s="5"/>
      <c r="AF38" s="5"/>
      <c r="AH38" s="5"/>
      <c r="AI38" s="5"/>
      <c r="AJ38" s="5"/>
      <c r="AK38" s="5"/>
      <c r="AL38" s="5"/>
      <c r="AM38" s="5"/>
      <c r="AN38" s="5"/>
      <c r="AP38" s="5"/>
      <c r="AQ38" s="5"/>
      <c r="AR38" s="5"/>
      <c r="AS38" s="5"/>
      <c r="AT38" s="5"/>
      <c r="AU38" s="5"/>
      <c r="AV38" s="5"/>
      <c r="AX38" s="5"/>
      <c r="AY38" s="5"/>
      <c r="AZ38" s="5"/>
      <c r="BA38" s="5"/>
      <c r="BB38" s="5"/>
      <c r="BC38" s="5"/>
      <c r="BD38" s="5"/>
      <c r="BF38" s="5"/>
      <c r="BG38" s="5"/>
      <c r="BH38" s="5"/>
      <c r="BI38" s="5"/>
      <c r="BJ38" s="5"/>
      <c r="BK38" s="5"/>
      <c r="BL38" s="5"/>
      <c r="BN38" s="5"/>
      <c r="BO38" s="5"/>
      <c r="BP38" s="5"/>
      <c r="BQ38" s="5"/>
      <c r="BR38" s="5"/>
      <c r="BS38" s="5"/>
      <c r="BT38" s="5"/>
      <c r="BV38" s="5"/>
      <c r="BW38" s="5"/>
      <c r="BX38" s="5"/>
      <c r="BY38" s="5"/>
      <c r="BZ38" s="5"/>
      <c r="CA38" s="5"/>
      <c r="CB38" s="5"/>
      <c r="CD38" s="5"/>
      <c r="CE38" s="5"/>
      <c r="CF38" s="5"/>
      <c r="CG38" s="5"/>
      <c r="CH38" s="5"/>
      <c r="CI38" s="5"/>
      <c r="CJ38" s="5"/>
    </row>
    <row r="39" spans="1:88" x14ac:dyDescent="0.3">
      <c r="A39" s="16" t="s">
        <v>47</v>
      </c>
      <c r="B39" s="9"/>
      <c r="C39" s="9"/>
      <c r="D39" s="9"/>
      <c r="E39" s="9"/>
      <c r="F39" s="9"/>
      <c r="G39" s="9"/>
      <c r="H39" s="9"/>
      <c r="J39" s="9"/>
      <c r="K39" s="9"/>
      <c r="L39" s="9"/>
      <c r="M39" s="9"/>
      <c r="N39" s="9"/>
      <c r="O39" s="9"/>
      <c r="P39" s="9"/>
      <c r="R39" s="9"/>
      <c r="S39" s="9"/>
      <c r="T39" s="9"/>
      <c r="U39" s="9"/>
      <c r="V39" s="9"/>
      <c r="W39" s="9"/>
      <c r="X39" s="9"/>
      <c r="Z39" s="9"/>
      <c r="AA39" s="9"/>
      <c r="AB39" s="9"/>
      <c r="AC39" s="9"/>
      <c r="AD39" s="9"/>
      <c r="AE39" s="9"/>
      <c r="AF39" s="9"/>
      <c r="AH39" s="9"/>
      <c r="AI39" s="9"/>
      <c r="AJ39" s="9"/>
      <c r="AK39" s="9"/>
      <c r="AL39" s="9"/>
      <c r="AM39" s="9"/>
      <c r="AN39" s="9"/>
      <c r="AP39" s="9"/>
      <c r="AQ39" s="9"/>
      <c r="AR39" s="9"/>
      <c r="AS39" s="9"/>
      <c r="AT39" s="9"/>
      <c r="AU39" s="9"/>
      <c r="AV39" s="9"/>
      <c r="AX39" s="9"/>
      <c r="AY39" s="9"/>
      <c r="AZ39" s="9"/>
      <c r="BA39" s="9"/>
      <c r="BB39" s="9"/>
      <c r="BC39" s="9"/>
      <c r="BD39" s="9"/>
      <c r="BF39" s="9"/>
      <c r="BG39" s="9"/>
      <c r="BH39" s="9"/>
      <c r="BI39" s="9"/>
      <c r="BJ39" s="9"/>
      <c r="BK39" s="9"/>
      <c r="BL39" s="9"/>
      <c r="BN39" s="9"/>
      <c r="BO39" s="9"/>
      <c r="BP39" s="9"/>
      <c r="BQ39" s="9"/>
      <c r="BR39" s="9"/>
      <c r="BS39" s="9"/>
      <c r="BT39" s="9"/>
      <c r="BV39" s="9"/>
      <c r="BW39" s="9"/>
      <c r="BX39" s="9"/>
      <c r="BY39" s="9"/>
      <c r="BZ39" s="9"/>
      <c r="CA39" s="9"/>
      <c r="CB39" s="9"/>
      <c r="CD39" s="9"/>
      <c r="CE39" s="9"/>
      <c r="CF39" s="9"/>
      <c r="CG39" s="9"/>
      <c r="CH39" s="9"/>
      <c r="CI39" s="9"/>
      <c r="CJ39" s="9"/>
    </row>
    <row r="40" spans="1:88" x14ac:dyDescent="0.3">
      <c r="B40" s="9"/>
      <c r="C40" s="9"/>
      <c r="D40" s="9"/>
      <c r="E40" s="9"/>
      <c r="F40" s="9"/>
      <c r="G40" s="9"/>
      <c r="H40" s="9"/>
      <c r="J40" s="9"/>
      <c r="K40" s="9"/>
      <c r="L40" s="9"/>
      <c r="M40" s="9"/>
      <c r="N40" s="9"/>
      <c r="O40" s="9"/>
      <c r="P40" s="9"/>
      <c r="R40" s="9"/>
      <c r="S40" s="9"/>
      <c r="T40" s="9"/>
      <c r="U40" s="9"/>
      <c r="V40" s="9"/>
      <c r="W40" s="9"/>
      <c r="X40" s="9"/>
      <c r="Z40" s="9"/>
      <c r="AA40" s="9"/>
      <c r="AB40" s="9"/>
      <c r="AC40" s="9"/>
      <c r="AD40" s="9"/>
      <c r="AE40" s="9"/>
      <c r="AF40" s="9"/>
      <c r="AH40" s="9"/>
      <c r="AI40" s="9"/>
      <c r="AJ40" s="9"/>
      <c r="AK40" s="9"/>
      <c r="AL40" s="9"/>
      <c r="AM40" s="9"/>
      <c r="AN40" s="9"/>
      <c r="AP40" s="9"/>
      <c r="AQ40" s="9"/>
      <c r="AR40" s="9"/>
      <c r="AS40" s="9"/>
      <c r="AT40" s="9"/>
      <c r="AU40" s="9"/>
      <c r="AV40" s="9"/>
      <c r="AX40" s="9"/>
      <c r="AY40" s="9"/>
      <c r="AZ40" s="9"/>
      <c r="BA40" s="9"/>
      <c r="BB40" s="9"/>
      <c r="BC40" s="9"/>
      <c r="BD40" s="9"/>
      <c r="BF40" s="9"/>
      <c r="BG40" s="9"/>
      <c r="BH40" s="9"/>
      <c r="BI40" s="9"/>
      <c r="BJ40" s="9"/>
      <c r="BK40" s="9"/>
      <c r="BL40" s="9"/>
      <c r="BN40" s="9"/>
      <c r="BO40" s="9"/>
      <c r="BP40" s="9"/>
      <c r="BQ40" s="9"/>
      <c r="BR40" s="9"/>
      <c r="BS40" s="9"/>
      <c r="BT40" s="9"/>
      <c r="BV40" s="9"/>
      <c r="BW40" s="9"/>
      <c r="BX40" s="9"/>
      <c r="BY40" s="9"/>
      <c r="BZ40" s="9"/>
      <c r="CA40" s="9"/>
      <c r="CB40" s="9"/>
      <c r="CD40" s="9"/>
      <c r="CE40" s="9"/>
      <c r="CF40" s="9"/>
      <c r="CG40" s="9"/>
      <c r="CH40" s="9"/>
      <c r="CI40" s="9"/>
      <c r="CJ40" s="9"/>
    </row>
    <row r="41" spans="1:88" x14ac:dyDescent="0.3">
      <c r="B41" s="9"/>
      <c r="C41" s="9"/>
      <c r="D41" s="9"/>
      <c r="E41" s="9"/>
      <c r="F41" s="9"/>
      <c r="G41" s="9"/>
      <c r="H41" s="9"/>
      <c r="J41" s="9"/>
      <c r="K41" s="9"/>
      <c r="L41" s="9"/>
      <c r="M41" s="9"/>
      <c r="N41" s="9"/>
      <c r="O41" s="9"/>
      <c r="P41" s="9"/>
      <c r="R41" s="9"/>
      <c r="S41" s="9"/>
      <c r="T41" s="9"/>
      <c r="U41" s="9"/>
      <c r="V41" s="9"/>
      <c r="W41" s="9"/>
      <c r="X41" s="9"/>
      <c r="Z41" s="9"/>
      <c r="AA41" s="9"/>
      <c r="AB41" s="9"/>
      <c r="AC41" s="9"/>
      <c r="AD41" s="9"/>
      <c r="AE41" s="9"/>
      <c r="AF41" s="9"/>
      <c r="AH41" s="9"/>
      <c r="AI41" s="9"/>
      <c r="AJ41" s="9"/>
      <c r="AK41" s="9"/>
      <c r="AL41" s="9"/>
      <c r="AM41" s="9"/>
      <c r="AN41" s="9"/>
      <c r="AP41" s="9"/>
      <c r="AQ41" s="9"/>
      <c r="AR41" s="9"/>
      <c r="AS41" s="9"/>
      <c r="AT41" s="9"/>
      <c r="AU41" s="9"/>
      <c r="AV41" s="9"/>
      <c r="AX41" s="9"/>
      <c r="AY41" s="9"/>
      <c r="AZ41" s="9"/>
      <c r="BA41" s="9"/>
      <c r="BB41" s="9"/>
      <c r="BC41" s="9"/>
      <c r="BD41" s="9"/>
      <c r="BF41" s="9"/>
      <c r="BG41" s="9"/>
      <c r="BH41" s="9"/>
      <c r="BI41" s="9"/>
      <c r="BJ41" s="9"/>
      <c r="BK41" s="9"/>
      <c r="BL41" s="9"/>
      <c r="BN41" s="9"/>
      <c r="BO41" s="9"/>
      <c r="BP41" s="9"/>
      <c r="BQ41" s="9"/>
      <c r="BR41" s="9"/>
      <c r="BS41" s="9"/>
      <c r="BT41" s="9"/>
      <c r="BV41" s="9"/>
      <c r="BW41" s="9"/>
      <c r="BX41" s="9"/>
      <c r="BY41" s="9"/>
      <c r="BZ41" s="9"/>
      <c r="CA41" s="9"/>
      <c r="CB41" s="9"/>
      <c r="CD41" s="9"/>
      <c r="CE41" s="9"/>
      <c r="CF41" s="9"/>
      <c r="CG41" s="9"/>
      <c r="CH41" s="9"/>
      <c r="CI41" s="9"/>
      <c r="CJ41" s="9"/>
    </row>
    <row r="42" spans="1:88" x14ac:dyDescent="0.3">
      <c r="B42" s="9"/>
      <c r="C42" s="9"/>
      <c r="D42" s="9"/>
      <c r="E42" s="9"/>
      <c r="F42" s="9"/>
      <c r="G42" s="9"/>
      <c r="H42" s="9"/>
      <c r="J42" s="9"/>
      <c r="K42" s="9"/>
      <c r="L42" s="9"/>
      <c r="M42" s="9"/>
      <c r="N42" s="9"/>
      <c r="O42" s="9"/>
      <c r="P42" s="9"/>
      <c r="R42" s="9"/>
      <c r="S42" s="9"/>
      <c r="T42" s="9"/>
      <c r="U42" s="9"/>
      <c r="V42" s="9"/>
      <c r="W42" s="9"/>
      <c r="X42" s="9"/>
      <c r="Z42" s="9"/>
      <c r="AA42" s="9"/>
      <c r="AB42" s="9"/>
      <c r="AC42" s="9"/>
      <c r="AD42" s="9"/>
      <c r="AE42" s="9"/>
      <c r="AF42" s="9"/>
      <c r="AH42" s="9"/>
      <c r="AI42" s="9"/>
      <c r="AJ42" s="9"/>
      <c r="AK42" s="9"/>
      <c r="AL42" s="9"/>
      <c r="AM42" s="9"/>
      <c r="AN42" s="9"/>
      <c r="AP42" s="9"/>
      <c r="AQ42" s="9"/>
      <c r="AR42" s="9"/>
      <c r="AS42" s="9"/>
      <c r="AT42" s="9"/>
      <c r="AU42" s="9"/>
      <c r="AV42" s="9"/>
      <c r="AX42" s="9"/>
      <c r="AY42" s="9"/>
      <c r="AZ42" s="9"/>
      <c r="BA42" s="9"/>
      <c r="BB42" s="9"/>
      <c r="BC42" s="9"/>
      <c r="BD42" s="9"/>
      <c r="BF42" s="9"/>
      <c r="BG42" s="9"/>
      <c r="BH42" s="9"/>
      <c r="BI42" s="9"/>
      <c r="BJ42" s="9"/>
      <c r="BK42" s="9"/>
      <c r="BL42" s="9"/>
      <c r="BN42" s="9"/>
      <c r="BO42" s="9"/>
      <c r="BP42" s="9"/>
      <c r="BQ42" s="9"/>
      <c r="BR42" s="9"/>
      <c r="BS42" s="9"/>
      <c r="BT42" s="9"/>
      <c r="BV42" s="9"/>
      <c r="BW42" s="9"/>
      <c r="BX42" s="9"/>
      <c r="BY42" s="9"/>
      <c r="BZ42" s="9"/>
      <c r="CA42" s="9"/>
      <c r="CB42" s="9"/>
      <c r="CD42" s="9"/>
      <c r="CE42" s="9"/>
      <c r="CF42" s="9"/>
      <c r="CG42" s="9"/>
      <c r="CH42" s="9"/>
      <c r="CI42" s="9"/>
      <c r="CJ42" s="9"/>
    </row>
    <row r="43" spans="1:88" x14ac:dyDescent="0.3">
      <c r="B43" s="9"/>
      <c r="C43" s="9"/>
      <c r="D43" s="9"/>
      <c r="E43" s="9"/>
      <c r="F43" s="9"/>
      <c r="G43" s="9"/>
      <c r="H43" s="9"/>
      <c r="J43" s="9"/>
      <c r="K43" s="9"/>
      <c r="L43" s="9"/>
      <c r="M43" s="9"/>
      <c r="N43" s="9"/>
      <c r="O43" s="9"/>
      <c r="P43" s="9"/>
      <c r="R43" s="9"/>
      <c r="S43" s="9"/>
      <c r="T43" s="9"/>
      <c r="U43" s="9"/>
      <c r="V43" s="9"/>
      <c r="W43" s="9"/>
      <c r="X43" s="9"/>
      <c r="Z43" s="9"/>
      <c r="AA43" s="9"/>
      <c r="AB43" s="9"/>
      <c r="AC43" s="9"/>
      <c r="AD43" s="9"/>
      <c r="AE43" s="9"/>
      <c r="AF43" s="9"/>
      <c r="AH43" s="9"/>
      <c r="AI43" s="9"/>
      <c r="AJ43" s="9"/>
      <c r="AK43" s="9"/>
      <c r="AL43" s="9"/>
      <c r="AM43" s="9"/>
      <c r="AN43" s="9"/>
      <c r="AP43" s="9"/>
      <c r="AQ43" s="9"/>
      <c r="AR43" s="9"/>
      <c r="AS43" s="9"/>
      <c r="AT43" s="9"/>
      <c r="AU43" s="9"/>
      <c r="AV43" s="9"/>
      <c r="AX43" s="9"/>
      <c r="AY43" s="9"/>
      <c r="AZ43" s="9"/>
      <c r="BA43" s="9"/>
      <c r="BB43" s="9"/>
      <c r="BC43" s="9"/>
      <c r="BD43" s="9"/>
      <c r="BF43" s="9"/>
      <c r="BG43" s="9"/>
      <c r="BH43" s="9"/>
      <c r="BI43" s="9"/>
      <c r="BJ43" s="9"/>
      <c r="BK43" s="9"/>
      <c r="BL43" s="9"/>
      <c r="BN43" s="9"/>
      <c r="BO43" s="9"/>
      <c r="BP43" s="9"/>
      <c r="BQ43" s="9"/>
      <c r="BR43" s="9"/>
      <c r="BS43" s="9"/>
      <c r="BT43" s="9"/>
      <c r="BV43" s="9"/>
      <c r="BW43" s="9"/>
      <c r="BX43" s="9"/>
      <c r="BY43" s="9"/>
      <c r="BZ43" s="9"/>
      <c r="CA43" s="9"/>
      <c r="CB43" s="9"/>
      <c r="CD43" s="9"/>
      <c r="CE43" s="9"/>
      <c r="CF43" s="9"/>
      <c r="CG43" s="9"/>
      <c r="CH43" s="9"/>
      <c r="CI43" s="9"/>
      <c r="CJ43" s="9"/>
    </row>
    <row r="44" spans="1:88" x14ac:dyDescent="0.3">
      <c r="B44" s="9"/>
      <c r="C44" s="9"/>
      <c r="D44" s="9"/>
      <c r="E44" s="9"/>
      <c r="F44" s="9"/>
      <c r="G44" s="9"/>
      <c r="H44" s="9"/>
      <c r="J44" s="9"/>
      <c r="K44" s="9"/>
      <c r="L44" s="9"/>
      <c r="M44" s="9"/>
      <c r="N44" s="9"/>
      <c r="O44" s="9"/>
      <c r="P44" s="9"/>
      <c r="R44" s="9"/>
      <c r="S44" s="9"/>
      <c r="T44" s="9"/>
      <c r="U44" s="9"/>
      <c r="V44" s="9"/>
      <c r="W44" s="9"/>
      <c r="X44" s="9"/>
      <c r="Z44" s="9"/>
      <c r="AA44" s="9"/>
      <c r="AB44" s="9"/>
      <c r="AC44" s="9"/>
      <c r="AD44" s="9"/>
      <c r="AE44" s="9"/>
      <c r="AF44" s="9"/>
      <c r="AH44" s="9"/>
      <c r="AI44" s="9"/>
      <c r="AJ44" s="9"/>
      <c r="AK44" s="9"/>
      <c r="AL44" s="9"/>
      <c r="AM44" s="9"/>
      <c r="AN44" s="9"/>
      <c r="AP44" s="9"/>
      <c r="AQ44" s="9"/>
      <c r="AR44" s="9"/>
      <c r="AS44" s="9"/>
      <c r="AT44" s="9"/>
      <c r="AU44" s="9"/>
      <c r="AV44" s="9"/>
      <c r="AX44" s="9"/>
      <c r="AY44" s="9"/>
      <c r="AZ44" s="9"/>
      <c r="BA44" s="9"/>
      <c r="BB44" s="9"/>
      <c r="BC44" s="9"/>
      <c r="BD44" s="9"/>
      <c r="BF44" s="9"/>
      <c r="BG44" s="9"/>
      <c r="BH44" s="9"/>
      <c r="BI44" s="9"/>
      <c r="BJ44" s="9"/>
      <c r="BK44" s="9"/>
      <c r="BL44" s="9"/>
      <c r="BN44" s="9"/>
      <c r="BO44" s="9"/>
      <c r="BP44" s="9"/>
      <c r="BQ44" s="9"/>
      <c r="BR44" s="9"/>
      <c r="BS44" s="9"/>
      <c r="BT44" s="9"/>
      <c r="BV44" s="9"/>
      <c r="BW44" s="9"/>
      <c r="BX44" s="9"/>
      <c r="BY44" s="9"/>
      <c r="BZ44" s="9"/>
      <c r="CA44" s="9"/>
      <c r="CB44" s="9"/>
      <c r="CD44" s="9"/>
      <c r="CE44" s="9"/>
      <c r="CF44" s="9"/>
      <c r="CG44" s="9"/>
      <c r="CH44" s="9"/>
      <c r="CI44" s="9"/>
      <c r="CJ44" s="9"/>
    </row>
    <row r="45" spans="1:88" x14ac:dyDescent="0.3">
      <c r="B45" s="9"/>
      <c r="C45" s="9"/>
      <c r="D45" s="9"/>
      <c r="E45" s="9"/>
      <c r="F45" s="9"/>
      <c r="G45" s="9"/>
      <c r="H45" s="9"/>
      <c r="J45" s="9"/>
      <c r="K45" s="9"/>
      <c r="L45" s="9"/>
      <c r="M45" s="9"/>
      <c r="N45" s="9"/>
      <c r="O45" s="9"/>
      <c r="P45" s="9"/>
      <c r="R45" s="9"/>
      <c r="S45" s="9"/>
      <c r="T45" s="9"/>
      <c r="U45" s="9"/>
      <c r="V45" s="9"/>
      <c r="W45" s="9"/>
      <c r="X45" s="9"/>
      <c r="Z45" s="9"/>
      <c r="AA45" s="9"/>
      <c r="AB45" s="9"/>
      <c r="AC45" s="9"/>
      <c r="AD45" s="9"/>
      <c r="AE45" s="9"/>
      <c r="AF45" s="9"/>
      <c r="AH45" s="9"/>
      <c r="AI45" s="9"/>
      <c r="AJ45" s="9"/>
      <c r="AK45" s="9"/>
      <c r="AL45" s="9"/>
      <c r="AM45" s="9"/>
      <c r="AN45" s="9"/>
      <c r="AP45" s="9"/>
      <c r="AQ45" s="9"/>
      <c r="AR45" s="9"/>
      <c r="AS45" s="9"/>
      <c r="AT45" s="9"/>
      <c r="AU45" s="9"/>
      <c r="AV45" s="9"/>
      <c r="AX45" s="9"/>
      <c r="AY45" s="9"/>
      <c r="AZ45" s="9"/>
      <c r="BA45" s="9"/>
      <c r="BB45" s="9"/>
      <c r="BC45" s="9"/>
      <c r="BD45" s="9"/>
      <c r="BF45" s="9"/>
      <c r="BG45" s="9"/>
      <c r="BH45" s="9"/>
      <c r="BI45" s="9"/>
      <c r="BJ45" s="9"/>
      <c r="BK45" s="9"/>
      <c r="BL45" s="9"/>
      <c r="BN45" s="9"/>
      <c r="BO45" s="9"/>
      <c r="BP45" s="9"/>
      <c r="BQ45" s="9"/>
      <c r="BR45" s="9"/>
      <c r="BS45" s="9"/>
      <c r="BT45" s="9"/>
      <c r="BV45" s="9"/>
      <c r="BW45" s="9"/>
      <c r="BX45" s="9"/>
      <c r="BY45" s="9"/>
      <c r="BZ45" s="9"/>
      <c r="CA45" s="9"/>
      <c r="CB45" s="9"/>
      <c r="CD45" s="9"/>
      <c r="CE45" s="9"/>
      <c r="CF45" s="9"/>
      <c r="CG45" s="9"/>
      <c r="CH45" s="9"/>
      <c r="CI45" s="9"/>
      <c r="CJ45" s="9"/>
    </row>
    <row r="46" spans="1:88" x14ac:dyDescent="0.3">
      <c r="B46" s="9"/>
      <c r="C46" s="9"/>
      <c r="D46" s="9"/>
      <c r="E46" s="9"/>
      <c r="F46" s="9"/>
      <c r="G46" s="9"/>
      <c r="H46" s="9"/>
      <c r="J46" s="9"/>
      <c r="K46" s="9"/>
      <c r="L46" s="9"/>
      <c r="M46" s="9"/>
      <c r="N46" s="9"/>
      <c r="O46" s="9"/>
      <c r="P46" s="9"/>
      <c r="R46" s="9"/>
      <c r="S46" s="9"/>
      <c r="T46" s="9"/>
      <c r="U46" s="9"/>
      <c r="V46" s="9"/>
      <c r="W46" s="9"/>
      <c r="X46" s="9"/>
      <c r="Z46" s="9"/>
      <c r="AA46" s="9"/>
      <c r="AB46" s="9"/>
      <c r="AC46" s="9"/>
      <c r="AD46" s="9"/>
      <c r="AE46" s="9"/>
      <c r="AF46" s="9"/>
      <c r="AH46" s="9"/>
      <c r="AI46" s="9"/>
      <c r="AJ46" s="9"/>
      <c r="AK46" s="9"/>
      <c r="AL46" s="9"/>
      <c r="AM46" s="9"/>
      <c r="AN46" s="9"/>
      <c r="AP46" s="9"/>
      <c r="AQ46" s="9"/>
      <c r="AR46" s="9"/>
      <c r="AS46" s="9"/>
      <c r="AT46" s="9"/>
      <c r="AU46" s="9"/>
      <c r="AV46" s="9"/>
      <c r="AX46" s="9"/>
      <c r="AY46" s="9"/>
      <c r="AZ46" s="9"/>
      <c r="BA46" s="9"/>
      <c r="BB46" s="9"/>
      <c r="BC46" s="9"/>
      <c r="BD46" s="9"/>
      <c r="BF46" s="9"/>
      <c r="BG46" s="9"/>
      <c r="BH46" s="9"/>
      <c r="BI46" s="9"/>
      <c r="BJ46" s="9"/>
      <c r="BK46" s="9"/>
      <c r="BL46" s="9"/>
      <c r="BN46" s="9"/>
      <c r="BO46" s="9"/>
      <c r="BP46" s="9"/>
      <c r="BQ46" s="9"/>
      <c r="BR46" s="9"/>
      <c r="BS46" s="9"/>
      <c r="BT46" s="9"/>
      <c r="BV46" s="9"/>
      <c r="BW46" s="9"/>
      <c r="BX46" s="9"/>
      <c r="BY46" s="9"/>
      <c r="BZ46" s="9"/>
      <c r="CA46" s="9"/>
      <c r="CB46" s="9"/>
      <c r="CD46" s="9"/>
      <c r="CE46" s="9"/>
      <c r="CF46" s="9"/>
      <c r="CG46" s="9"/>
      <c r="CH46" s="9"/>
      <c r="CI46" s="9"/>
      <c r="CJ46" s="9"/>
    </row>
    <row r="47" spans="1:88" x14ac:dyDescent="0.3">
      <c r="B47" s="9"/>
      <c r="C47" s="9"/>
      <c r="D47" s="9"/>
      <c r="E47" s="9"/>
      <c r="F47" s="9"/>
      <c r="G47" s="9"/>
      <c r="H47" s="9"/>
      <c r="J47" s="9"/>
      <c r="K47" s="9"/>
      <c r="L47" s="9"/>
      <c r="M47" s="9"/>
      <c r="N47" s="9"/>
      <c r="O47" s="9"/>
      <c r="P47" s="9"/>
      <c r="R47" s="9"/>
      <c r="S47" s="9"/>
      <c r="T47" s="9"/>
      <c r="U47" s="9"/>
      <c r="V47" s="9"/>
      <c r="W47" s="9"/>
      <c r="X47" s="9"/>
      <c r="Z47" s="9"/>
      <c r="AA47" s="9"/>
      <c r="AB47" s="9"/>
      <c r="AC47" s="9"/>
      <c r="AD47" s="9"/>
      <c r="AE47" s="9"/>
      <c r="AF47" s="9"/>
      <c r="AH47" s="9"/>
      <c r="AI47" s="9"/>
      <c r="AJ47" s="9"/>
      <c r="AK47" s="9"/>
      <c r="AL47" s="9"/>
      <c r="AM47" s="9"/>
      <c r="AN47" s="9"/>
      <c r="AP47" s="9"/>
      <c r="AQ47" s="9"/>
      <c r="AR47" s="9"/>
      <c r="AS47" s="9"/>
      <c r="AT47" s="9"/>
      <c r="AU47" s="9"/>
      <c r="AV47" s="9"/>
      <c r="AX47" s="9"/>
      <c r="AY47" s="9"/>
      <c r="AZ47" s="9"/>
      <c r="BA47" s="9"/>
      <c r="BB47" s="9"/>
      <c r="BC47" s="9"/>
      <c r="BD47" s="9"/>
      <c r="BF47" s="9"/>
      <c r="BG47" s="9"/>
      <c r="BH47" s="9"/>
      <c r="BI47" s="9"/>
      <c r="BJ47" s="9"/>
      <c r="BK47" s="9"/>
      <c r="BL47" s="9"/>
      <c r="BN47" s="9"/>
      <c r="BO47" s="9"/>
      <c r="BP47" s="9"/>
      <c r="BQ47" s="9"/>
      <c r="BR47" s="9"/>
      <c r="BS47" s="9"/>
      <c r="BT47" s="9"/>
      <c r="BV47" s="9"/>
      <c r="BW47" s="9"/>
      <c r="BX47" s="9"/>
      <c r="BY47" s="9"/>
      <c r="BZ47" s="9"/>
      <c r="CA47" s="9"/>
      <c r="CB47" s="9"/>
      <c r="CD47" s="9"/>
      <c r="CE47" s="9"/>
      <c r="CF47" s="9"/>
      <c r="CG47" s="9"/>
      <c r="CH47" s="9"/>
      <c r="CI47" s="9"/>
      <c r="CJ47" s="9"/>
    </row>
    <row r="48" spans="1:88" x14ac:dyDescent="0.3">
      <c r="B48" s="9"/>
      <c r="C48" s="9"/>
      <c r="D48" s="9"/>
      <c r="E48" s="9"/>
      <c r="F48" s="9"/>
      <c r="G48" s="9"/>
      <c r="H48" s="9"/>
      <c r="J48" s="9"/>
      <c r="K48" s="9"/>
      <c r="L48" s="9"/>
      <c r="M48" s="9"/>
      <c r="N48" s="9"/>
      <c r="O48" s="9"/>
      <c r="P48" s="9"/>
      <c r="R48" s="9"/>
      <c r="S48" s="9"/>
      <c r="T48" s="9"/>
      <c r="U48" s="9"/>
      <c r="V48" s="9"/>
      <c r="W48" s="9"/>
      <c r="X48" s="9"/>
      <c r="Z48" s="9"/>
      <c r="AA48" s="9"/>
      <c r="AB48" s="9"/>
      <c r="AC48" s="9"/>
      <c r="AD48" s="9"/>
      <c r="AE48" s="9"/>
      <c r="AF48" s="9"/>
      <c r="AH48" s="9"/>
      <c r="AI48" s="9"/>
      <c r="AJ48" s="9"/>
      <c r="AK48" s="9"/>
      <c r="AL48" s="9"/>
      <c r="AM48" s="9"/>
      <c r="AN48" s="9"/>
      <c r="AP48" s="9"/>
      <c r="AQ48" s="9"/>
      <c r="AR48" s="9"/>
      <c r="AS48" s="9"/>
      <c r="AT48" s="9"/>
      <c r="AU48" s="9"/>
      <c r="AV48" s="9"/>
      <c r="AX48" s="9"/>
      <c r="AY48" s="9"/>
      <c r="AZ48" s="9"/>
      <c r="BA48" s="9"/>
      <c r="BB48" s="9"/>
      <c r="BC48" s="9"/>
      <c r="BD48" s="9"/>
      <c r="BF48" s="9"/>
      <c r="BG48" s="9"/>
      <c r="BH48" s="9"/>
      <c r="BI48" s="9"/>
      <c r="BJ48" s="9"/>
      <c r="BK48" s="9"/>
      <c r="BL48" s="9"/>
      <c r="BN48" s="9"/>
      <c r="BO48" s="9"/>
      <c r="BP48" s="9"/>
      <c r="BQ48" s="9"/>
      <c r="BR48" s="9"/>
      <c r="BS48" s="9"/>
      <c r="BT48" s="9"/>
      <c r="BV48" s="9"/>
      <c r="BW48" s="9"/>
      <c r="BX48" s="9"/>
      <c r="BY48" s="9"/>
      <c r="BZ48" s="9"/>
      <c r="CA48" s="9"/>
      <c r="CB48" s="9"/>
      <c r="CD48" s="9"/>
      <c r="CE48" s="9"/>
      <c r="CF48" s="9"/>
      <c r="CG48" s="9"/>
      <c r="CH48" s="9"/>
      <c r="CI48" s="9"/>
      <c r="CJ48" s="9"/>
    </row>
    <row r="49" spans="1:88" x14ac:dyDescent="0.3">
      <c r="B49" s="9"/>
      <c r="C49" s="9"/>
      <c r="D49" s="9"/>
      <c r="E49" s="9"/>
      <c r="F49" s="9"/>
      <c r="G49" s="9"/>
      <c r="H49" s="9"/>
      <c r="J49" s="9"/>
      <c r="K49" s="9"/>
      <c r="L49" s="9"/>
      <c r="M49" s="9"/>
      <c r="N49" s="9"/>
      <c r="O49" s="9"/>
      <c r="P49" s="9"/>
      <c r="R49" s="9"/>
      <c r="S49" s="9"/>
      <c r="T49" s="9"/>
      <c r="U49" s="9"/>
      <c r="V49" s="9"/>
      <c r="W49" s="9"/>
      <c r="X49" s="9"/>
      <c r="Z49" s="9"/>
      <c r="AA49" s="9"/>
      <c r="AB49" s="9"/>
      <c r="AC49" s="9"/>
      <c r="AD49" s="9"/>
      <c r="AE49" s="9"/>
      <c r="AF49" s="9"/>
      <c r="AH49" s="9"/>
      <c r="AI49" s="9"/>
      <c r="AJ49" s="9"/>
      <c r="AK49" s="9"/>
      <c r="AL49" s="9"/>
      <c r="AM49" s="9"/>
      <c r="AN49" s="9"/>
      <c r="AP49" s="9"/>
      <c r="AQ49" s="9"/>
      <c r="AR49" s="9"/>
      <c r="AS49" s="9"/>
      <c r="AT49" s="9"/>
      <c r="AU49" s="9"/>
      <c r="AV49" s="9"/>
      <c r="AX49" s="9"/>
      <c r="AY49" s="9"/>
      <c r="AZ49" s="9"/>
      <c r="BA49" s="9"/>
      <c r="BB49" s="9"/>
      <c r="BC49" s="9"/>
      <c r="BD49" s="9"/>
      <c r="BF49" s="9"/>
      <c r="BG49" s="9"/>
      <c r="BH49" s="9"/>
      <c r="BI49" s="9"/>
      <c r="BJ49" s="9"/>
      <c r="BK49" s="9"/>
      <c r="BL49" s="9"/>
      <c r="BN49" s="9"/>
      <c r="BO49" s="9"/>
      <c r="BP49" s="9"/>
      <c r="BQ49" s="9"/>
      <c r="BR49" s="9"/>
      <c r="BS49" s="9"/>
      <c r="BT49" s="9"/>
      <c r="BV49" s="9"/>
      <c r="BW49" s="9"/>
      <c r="BX49" s="9"/>
      <c r="BY49" s="9"/>
      <c r="BZ49" s="9"/>
      <c r="CA49" s="9"/>
      <c r="CB49" s="9"/>
      <c r="CD49" s="9"/>
      <c r="CE49" s="9"/>
      <c r="CF49" s="9"/>
      <c r="CG49" s="9"/>
      <c r="CH49" s="9"/>
      <c r="CI49" s="9"/>
      <c r="CJ49" s="9"/>
    </row>
    <row r="50" spans="1:88" x14ac:dyDescent="0.3">
      <c r="B50" s="5"/>
      <c r="C50" s="5"/>
      <c r="D50" s="5"/>
      <c r="E50" s="5"/>
      <c r="F50" s="5"/>
      <c r="G50" s="5"/>
      <c r="H50" s="5"/>
      <c r="J50" s="5"/>
      <c r="K50" s="5"/>
      <c r="L50" s="5"/>
      <c r="M50" s="5"/>
      <c r="N50" s="5"/>
      <c r="O50" s="5"/>
      <c r="P50" s="5"/>
      <c r="R50" s="5"/>
      <c r="S50" s="5"/>
      <c r="T50" s="5"/>
      <c r="U50" s="5"/>
      <c r="V50" s="5"/>
      <c r="W50" s="5"/>
      <c r="X50" s="5"/>
      <c r="Z50" s="5"/>
      <c r="AA50" s="5"/>
      <c r="AB50" s="5"/>
      <c r="AC50" s="5"/>
      <c r="AD50" s="5"/>
      <c r="AE50" s="5"/>
      <c r="AF50" s="5"/>
      <c r="AH50" s="5"/>
      <c r="AI50" s="5"/>
      <c r="AJ50" s="5"/>
      <c r="AK50" s="5"/>
      <c r="AL50" s="5"/>
      <c r="AM50" s="5"/>
      <c r="AN50" s="5"/>
      <c r="AP50" s="5"/>
      <c r="AQ50" s="5"/>
      <c r="AR50" s="5"/>
      <c r="AS50" s="5"/>
      <c r="AT50" s="5"/>
      <c r="AU50" s="5"/>
      <c r="AV50" s="5"/>
      <c r="AX50" s="5"/>
      <c r="AY50" s="5"/>
      <c r="AZ50" s="5"/>
      <c r="BA50" s="5"/>
      <c r="BB50" s="5"/>
      <c r="BC50" s="5"/>
      <c r="BD50" s="5"/>
      <c r="BF50" s="5"/>
      <c r="BG50" s="5"/>
      <c r="BH50" s="5"/>
      <c r="BI50" s="5"/>
      <c r="BJ50" s="5"/>
      <c r="BK50" s="5"/>
      <c r="BL50" s="5"/>
      <c r="BN50" s="5"/>
      <c r="BO50" s="5"/>
      <c r="BP50" s="5"/>
      <c r="BQ50" s="5"/>
      <c r="BR50" s="5"/>
      <c r="BS50" s="5"/>
      <c r="BT50" s="5"/>
      <c r="BV50" s="5"/>
      <c r="BW50" s="5"/>
      <c r="BX50" s="5"/>
      <c r="BY50" s="5"/>
      <c r="BZ50" s="5"/>
      <c r="CA50" s="5"/>
      <c r="CB50" s="5"/>
      <c r="CD50" s="5"/>
      <c r="CE50" s="5"/>
      <c r="CF50" s="5"/>
      <c r="CG50" s="5"/>
      <c r="CH50" s="5"/>
      <c r="CI50" s="5"/>
      <c r="CJ50" s="5"/>
    </row>
    <row r="51" spans="1:88" x14ac:dyDescent="0.3">
      <c r="A51" s="16" t="s">
        <v>48</v>
      </c>
      <c r="B51" s="9"/>
      <c r="C51" s="9"/>
      <c r="D51" s="9"/>
      <c r="E51" s="9"/>
      <c r="F51" s="9"/>
      <c r="G51" s="9"/>
      <c r="H51" s="9"/>
      <c r="J51" s="9"/>
      <c r="K51" s="9"/>
      <c r="L51" s="9"/>
      <c r="M51" s="9"/>
      <c r="N51" s="9"/>
      <c r="O51" s="9"/>
      <c r="P51" s="9"/>
      <c r="R51" s="9"/>
      <c r="S51" s="9"/>
      <c r="T51" s="9"/>
      <c r="U51" s="9"/>
      <c r="V51" s="9"/>
      <c r="W51" s="9"/>
      <c r="X51" s="9"/>
      <c r="Z51" s="9"/>
      <c r="AA51" s="9"/>
      <c r="AB51" s="9"/>
      <c r="AC51" s="9"/>
      <c r="AD51" s="9"/>
      <c r="AE51" s="9"/>
      <c r="AF51" s="9"/>
      <c r="AH51" s="9"/>
      <c r="AI51" s="9"/>
      <c r="AJ51" s="9"/>
      <c r="AK51" s="9"/>
      <c r="AL51" s="9"/>
      <c r="AM51" s="9"/>
      <c r="AN51" s="9"/>
      <c r="AP51" s="9"/>
      <c r="AQ51" s="9"/>
      <c r="AR51" s="9"/>
      <c r="AS51" s="9"/>
      <c r="AT51" s="9"/>
      <c r="AU51" s="9"/>
      <c r="AV51" s="9"/>
      <c r="AX51" s="9"/>
      <c r="AY51" s="9"/>
      <c r="AZ51" s="9"/>
      <c r="BA51" s="9"/>
      <c r="BB51" s="9"/>
      <c r="BC51" s="9"/>
      <c r="BD51" s="9"/>
      <c r="BF51" s="9"/>
      <c r="BG51" s="9"/>
      <c r="BH51" s="9"/>
      <c r="BI51" s="9"/>
      <c r="BJ51" s="9"/>
      <c r="BK51" s="9"/>
      <c r="BL51" s="9"/>
      <c r="BN51" s="9"/>
      <c r="BO51" s="9"/>
      <c r="BP51" s="9"/>
      <c r="BQ51" s="9"/>
      <c r="BR51" s="9"/>
      <c r="BS51" s="9"/>
      <c r="BT51" s="9"/>
      <c r="BV51" s="9"/>
      <c r="BW51" s="9"/>
      <c r="BX51" s="9"/>
      <c r="BY51" s="9"/>
      <c r="BZ51" s="9"/>
      <c r="CA51" s="9"/>
      <c r="CB51" s="9"/>
      <c r="CD51" s="9"/>
      <c r="CE51" s="9"/>
      <c r="CF51" s="9"/>
      <c r="CG51" s="9"/>
      <c r="CH51" s="9"/>
      <c r="CI51" s="9"/>
      <c r="CJ51" s="9"/>
    </row>
    <row r="52" spans="1:88" x14ac:dyDescent="0.3">
      <c r="B52" s="9"/>
      <c r="C52" s="9"/>
      <c r="D52" s="9"/>
      <c r="E52" s="9"/>
      <c r="F52" s="9"/>
      <c r="G52" s="9"/>
      <c r="H52" s="9"/>
      <c r="J52" s="9"/>
      <c r="K52" s="9"/>
      <c r="L52" s="9"/>
      <c r="M52" s="9"/>
      <c r="N52" s="9"/>
      <c r="O52" s="9"/>
      <c r="P52" s="9"/>
      <c r="R52" s="9"/>
      <c r="S52" s="9"/>
      <c r="T52" s="9"/>
      <c r="U52" s="9"/>
      <c r="V52" s="9"/>
      <c r="W52" s="9"/>
      <c r="X52" s="9"/>
      <c r="Z52" s="9"/>
      <c r="AA52" s="9"/>
      <c r="AB52" s="9"/>
      <c r="AC52" s="9"/>
      <c r="AD52" s="9"/>
      <c r="AE52" s="9"/>
      <c r="AF52" s="9"/>
      <c r="AH52" s="9"/>
      <c r="AI52" s="9"/>
      <c r="AJ52" s="9"/>
      <c r="AK52" s="9"/>
      <c r="AL52" s="9"/>
      <c r="AM52" s="9"/>
      <c r="AN52" s="9"/>
      <c r="AP52" s="9"/>
      <c r="AQ52" s="9"/>
      <c r="AR52" s="9"/>
      <c r="AS52" s="9"/>
      <c r="AT52" s="9"/>
      <c r="AU52" s="9"/>
      <c r="AV52" s="9"/>
      <c r="AX52" s="9"/>
      <c r="AY52" s="9"/>
      <c r="AZ52" s="9"/>
      <c r="BA52" s="9"/>
      <c r="BB52" s="9"/>
      <c r="BC52" s="9"/>
      <c r="BD52" s="9"/>
      <c r="BF52" s="9"/>
      <c r="BG52" s="9"/>
      <c r="BH52" s="9"/>
      <c r="BI52" s="9"/>
      <c r="BJ52" s="9"/>
      <c r="BK52" s="9"/>
      <c r="BL52" s="9"/>
      <c r="BN52" s="9"/>
      <c r="BO52" s="9"/>
      <c r="BP52" s="9"/>
      <c r="BQ52" s="9"/>
      <c r="BR52" s="9"/>
      <c r="BS52" s="9"/>
      <c r="BT52" s="9"/>
      <c r="BV52" s="9"/>
      <c r="BW52" s="9"/>
      <c r="BX52" s="9"/>
      <c r="BY52" s="9"/>
      <c r="BZ52" s="9"/>
      <c r="CA52" s="9"/>
      <c r="CB52" s="9"/>
      <c r="CD52" s="9"/>
      <c r="CE52" s="9"/>
      <c r="CF52" s="9"/>
      <c r="CG52" s="9"/>
      <c r="CH52" s="9"/>
      <c r="CI52" s="9"/>
      <c r="CJ52" s="9"/>
    </row>
    <row r="53" spans="1:88" x14ac:dyDescent="0.3">
      <c r="B53" s="9"/>
      <c r="C53" s="9"/>
      <c r="D53" s="9"/>
      <c r="E53" s="9"/>
      <c r="F53" s="9"/>
      <c r="G53" s="9"/>
      <c r="H53" s="9"/>
      <c r="J53" s="9"/>
      <c r="K53" s="9"/>
      <c r="L53" s="9"/>
      <c r="M53" s="9"/>
      <c r="N53" s="9"/>
      <c r="O53" s="9"/>
      <c r="P53" s="9"/>
      <c r="R53" s="9"/>
      <c r="S53" s="9"/>
      <c r="T53" s="9"/>
      <c r="U53" s="9"/>
      <c r="V53" s="9"/>
      <c r="W53" s="9"/>
      <c r="X53" s="9"/>
      <c r="Z53" s="9"/>
      <c r="AA53" s="9"/>
      <c r="AB53" s="9"/>
      <c r="AC53" s="9"/>
      <c r="AD53" s="9"/>
      <c r="AE53" s="9"/>
      <c r="AF53" s="9"/>
      <c r="AH53" s="9"/>
      <c r="AI53" s="9"/>
      <c r="AJ53" s="9"/>
      <c r="AK53" s="9"/>
      <c r="AL53" s="9"/>
      <c r="AM53" s="9"/>
      <c r="AN53" s="9"/>
      <c r="AP53" s="9"/>
      <c r="AQ53" s="9"/>
      <c r="AR53" s="9"/>
      <c r="AS53" s="9"/>
      <c r="AT53" s="9"/>
      <c r="AU53" s="9"/>
      <c r="AV53" s="9"/>
      <c r="AX53" s="9"/>
      <c r="AY53" s="9"/>
      <c r="AZ53" s="9"/>
      <c r="BA53" s="9"/>
      <c r="BB53" s="9"/>
      <c r="BC53" s="9"/>
      <c r="BD53" s="9"/>
      <c r="BF53" s="9"/>
      <c r="BG53" s="9"/>
      <c r="BH53" s="9"/>
      <c r="BI53" s="9"/>
      <c r="BJ53" s="9"/>
      <c r="BK53" s="9"/>
      <c r="BL53" s="9"/>
      <c r="BN53" s="9"/>
      <c r="BO53" s="9"/>
      <c r="BP53" s="9"/>
      <c r="BQ53" s="9"/>
      <c r="BR53" s="9"/>
      <c r="BS53" s="9"/>
      <c r="BT53" s="9"/>
      <c r="BV53" s="9"/>
      <c r="BW53" s="9"/>
      <c r="BX53" s="9"/>
      <c r="BY53" s="9"/>
      <c r="BZ53" s="9"/>
      <c r="CA53" s="9"/>
      <c r="CB53" s="9"/>
      <c r="CD53" s="9"/>
      <c r="CE53" s="9"/>
      <c r="CF53" s="9"/>
      <c r="CG53" s="9"/>
      <c r="CH53" s="9"/>
      <c r="CI53" s="9"/>
      <c r="CJ53" s="9"/>
    </row>
    <row r="54" spans="1:88" x14ac:dyDescent="0.3">
      <c r="B54" s="9"/>
      <c r="C54" s="9"/>
      <c r="D54" s="9"/>
      <c r="E54" s="9"/>
      <c r="F54" s="9"/>
      <c r="G54" s="9"/>
      <c r="H54" s="9"/>
      <c r="J54" s="9"/>
      <c r="K54" s="9"/>
      <c r="L54" s="9"/>
      <c r="M54" s="9"/>
      <c r="N54" s="9"/>
      <c r="O54" s="9"/>
      <c r="P54" s="9"/>
      <c r="R54" s="9"/>
      <c r="S54" s="9"/>
      <c r="T54" s="9"/>
      <c r="U54" s="9"/>
      <c r="V54" s="9"/>
      <c r="W54" s="9"/>
      <c r="X54" s="9"/>
      <c r="Z54" s="9"/>
      <c r="AA54" s="9"/>
      <c r="AB54" s="9"/>
      <c r="AC54" s="9"/>
      <c r="AD54" s="9"/>
      <c r="AE54" s="9"/>
      <c r="AF54" s="9"/>
      <c r="AH54" s="9"/>
      <c r="AI54" s="9"/>
      <c r="AJ54" s="9"/>
      <c r="AK54" s="9"/>
      <c r="AL54" s="9"/>
      <c r="AM54" s="9"/>
      <c r="AN54" s="9"/>
      <c r="AP54" s="9"/>
      <c r="AQ54" s="9"/>
      <c r="AR54" s="9"/>
      <c r="AS54" s="9"/>
      <c r="AT54" s="9"/>
      <c r="AU54" s="9"/>
      <c r="AV54" s="9"/>
      <c r="AX54" s="9"/>
      <c r="AY54" s="9"/>
      <c r="AZ54" s="9"/>
      <c r="BA54" s="9"/>
      <c r="BB54" s="9"/>
      <c r="BC54" s="9"/>
      <c r="BD54" s="9"/>
      <c r="BF54" s="9"/>
      <c r="BG54" s="9"/>
      <c r="BH54" s="9"/>
      <c r="BI54" s="9"/>
      <c r="BJ54" s="9"/>
      <c r="BK54" s="9"/>
      <c r="BL54" s="9"/>
      <c r="BN54" s="9"/>
      <c r="BO54" s="9"/>
      <c r="BP54" s="9"/>
      <c r="BQ54" s="9"/>
      <c r="BR54" s="9"/>
      <c r="BS54" s="9"/>
      <c r="BT54" s="9"/>
      <c r="BV54" s="9"/>
      <c r="BW54" s="9"/>
      <c r="BX54" s="9"/>
      <c r="BY54" s="9"/>
      <c r="BZ54" s="9"/>
      <c r="CA54" s="9"/>
      <c r="CB54" s="9"/>
      <c r="CD54" s="9"/>
      <c r="CE54" s="9"/>
      <c r="CF54" s="9"/>
      <c r="CG54" s="9"/>
      <c r="CH54" s="9"/>
      <c r="CI54" s="9"/>
      <c r="CJ54" s="9"/>
    </row>
    <row r="55" spans="1:88" x14ac:dyDescent="0.3">
      <c r="B55" s="9"/>
      <c r="C55" s="9"/>
      <c r="D55" s="9"/>
      <c r="E55" s="9"/>
      <c r="F55" s="9"/>
      <c r="G55" s="9"/>
      <c r="H55" s="9"/>
      <c r="J55" s="9"/>
      <c r="K55" s="9"/>
      <c r="L55" s="9"/>
      <c r="M55" s="9"/>
      <c r="N55" s="9"/>
      <c r="O55" s="9"/>
      <c r="P55" s="9"/>
      <c r="R55" s="9"/>
      <c r="S55" s="9"/>
      <c r="T55" s="9"/>
      <c r="U55" s="9"/>
      <c r="V55" s="9"/>
      <c r="W55" s="9"/>
      <c r="X55" s="9"/>
      <c r="Z55" s="9"/>
      <c r="AA55" s="9"/>
      <c r="AB55" s="9"/>
      <c r="AC55" s="9"/>
      <c r="AD55" s="9"/>
      <c r="AE55" s="9"/>
      <c r="AF55" s="9"/>
      <c r="AH55" s="9"/>
      <c r="AI55" s="9"/>
      <c r="AJ55" s="9"/>
      <c r="AK55" s="9"/>
      <c r="AL55" s="9"/>
      <c r="AM55" s="9"/>
      <c r="AN55" s="9"/>
      <c r="AP55" s="9"/>
      <c r="AQ55" s="9"/>
      <c r="AR55" s="9"/>
      <c r="AS55" s="9"/>
      <c r="AT55" s="9"/>
      <c r="AU55" s="9"/>
      <c r="AV55" s="9"/>
      <c r="AX55" s="9"/>
      <c r="AY55" s="9"/>
      <c r="AZ55" s="9"/>
      <c r="BA55" s="9"/>
      <c r="BB55" s="9"/>
      <c r="BC55" s="9"/>
      <c r="BD55" s="9"/>
      <c r="BF55" s="9"/>
      <c r="BG55" s="9"/>
      <c r="BH55" s="9"/>
      <c r="BI55" s="9"/>
      <c r="BJ55" s="9"/>
      <c r="BK55" s="9"/>
      <c r="BL55" s="9"/>
      <c r="BN55" s="9"/>
      <c r="BO55" s="9"/>
      <c r="BP55" s="9"/>
      <c r="BQ55" s="9"/>
      <c r="BR55" s="9"/>
      <c r="BS55" s="9"/>
      <c r="BT55" s="9"/>
      <c r="BV55" s="9"/>
      <c r="BW55" s="9"/>
      <c r="BX55" s="9"/>
      <c r="BY55" s="9"/>
      <c r="BZ55" s="9"/>
      <c r="CA55" s="9"/>
      <c r="CB55" s="9"/>
      <c r="CD55" s="9"/>
      <c r="CE55" s="9"/>
      <c r="CF55" s="9"/>
      <c r="CG55" s="9"/>
      <c r="CH55" s="9"/>
      <c r="CI55" s="9"/>
      <c r="CJ55" s="9"/>
    </row>
    <row r="56" spans="1:88" x14ac:dyDescent="0.3">
      <c r="B56" s="9"/>
      <c r="C56" s="9"/>
      <c r="D56" s="9"/>
      <c r="E56" s="9"/>
      <c r="F56" s="9"/>
      <c r="G56" s="9"/>
      <c r="H56" s="9"/>
      <c r="J56" s="9"/>
      <c r="K56" s="9"/>
      <c r="L56" s="9"/>
      <c r="M56" s="9"/>
      <c r="N56" s="9"/>
      <c r="O56" s="9"/>
      <c r="P56" s="9"/>
      <c r="R56" s="9"/>
      <c r="S56" s="9"/>
      <c r="T56" s="9"/>
      <c r="U56" s="9"/>
      <c r="V56" s="9"/>
      <c r="W56" s="9"/>
      <c r="X56" s="9"/>
      <c r="Z56" s="9"/>
      <c r="AA56" s="9"/>
      <c r="AB56" s="9"/>
      <c r="AC56" s="9"/>
      <c r="AD56" s="9"/>
      <c r="AE56" s="9"/>
      <c r="AF56" s="9"/>
      <c r="AH56" s="9"/>
      <c r="AI56" s="9"/>
      <c r="AJ56" s="9"/>
      <c r="AK56" s="9"/>
      <c r="AL56" s="9"/>
      <c r="AM56" s="9"/>
      <c r="AN56" s="9"/>
      <c r="AP56" s="9"/>
      <c r="AQ56" s="9"/>
      <c r="AR56" s="9"/>
      <c r="AS56" s="9"/>
      <c r="AT56" s="9"/>
      <c r="AU56" s="9"/>
      <c r="AV56" s="9"/>
      <c r="AX56" s="9"/>
      <c r="AY56" s="9"/>
      <c r="AZ56" s="9"/>
      <c r="BA56" s="9"/>
      <c r="BB56" s="9"/>
      <c r="BC56" s="9"/>
      <c r="BD56" s="9"/>
      <c r="BF56" s="9"/>
      <c r="BG56" s="9"/>
      <c r="BH56" s="9"/>
      <c r="BI56" s="9"/>
      <c r="BJ56" s="9"/>
      <c r="BK56" s="9"/>
      <c r="BL56" s="9"/>
      <c r="BN56" s="9"/>
      <c r="BO56" s="9"/>
      <c r="BP56" s="9"/>
      <c r="BQ56" s="9"/>
      <c r="BR56" s="9"/>
      <c r="BS56" s="9"/>
      <c r="BT56" s="9"/>
      <c r="BV56" s="9"/>
      <c r="BW56" s="9"/>
      <c r="BX56" s="9"/>
      <c r="BY56" s="9"/>
      <c r="BZ56" s="9"/>
      <c r="CA56" s="9"/>
      <c r="CB56" s="9"/>
      <c r="CD56" s="9"/>
      <c r="CE56" s="9"/>
      <c r="CF56" s="9"/>
      <c r="CG56" s="9"/>
      <c r="CH56" s="9"/>
      <c r="CI56" s="9"/>
      <c r="CJ56" s="9"/>
    </row>
    <row r="57" spans="1:88" x14ac:dyDescent="0.3">
      <c r="B57" s="9"/>
      <c r="C57" s="9"/>
      <c r="D57" s="9"/>
      <c r="E57" s="9"/>
      <c r="F57" s="9"/>
      <c r="G57" s="9"/>
      <c r="H57" s="9"/>
      <c r="J57" s="9"/>
      <c r="K57" s="9"/>
      <c r="L57" s="9"/>
      <c r="M57" s="9"/>
      <c r="N57" s="9"/>
      <c r="O57" s="9"/>
      <c r="P57" s="9"/>
      <c r="R57" s="9"/>
      <c r="S57" s="9"/>
      <c r="T57" s="9"/>
      <c r="U57" s="9"/>
      <c r="V57" s="9"/>
      <c r="W57" s="9"/>
      <c r="X57" s="9"/>
      <c r="Z57" s="9"/>
      <c r="AA57" s="9"/>
      <c r="AB57" s="9"/>
      <c r="AC57" s="9"/>
      <c r="AD57" s="9"/>
      <c r="AE57" s="9"/>
      <c r="AF57" s="9"/>
      <c r="AH57" s="9"/>
      <c r="AI57" s="9"/>
      <c r="AJ57" s="9"/>
      <c r="AK57" s="9"/>
      <c r="AL57" s="9"/>
      <c r="AM57" s="9"/>
      <c r="AN57" s="9"/>
      <c r="AP57" s="9"/>
      <c r="AQ57" s="9"/>
      <c r="AR57" s="9"/>
      <c r="AS57" s="9"/>
      <c r="AT57" s="9"/>
      <c r="AU57" s="9"/>
      <c r="AV57" s="9"/>
      <c r="AX57" s="9"/>
      <c r="AY57" s="9"/>
      <c r="AZ57" s="9"/>
      <c r="BA57" s="9"/>
      <c r="BB57" s="9"/>
      <c r="BC57" s="9"/>
      <c r="BD57" s="9"/>
      <c r="BF57" s="9"/>
      <c r="BG57" s="9"/>
      <c r="BH57" s="9"/>
      <c r="BI57" s="9"/>
      <c r="BJ57" s="9"/>
      <c r="BK57" s="9"/>
      <c r="BL57" s="9"/>
      <c r="BN57" s="9"/>
      <c r="BO57" s="9"/>
      <c r="BP57" s="9"/>
      <c r="BQ57" s="9"/>
      <c r="BR57" s="9"/>
      <c r="BS57" s="9"/>
      <c r="BT57" s="9"/>
      <c r="BV57" s="9"/>
      <c r="BW57" s="9"/>
      <c r="BX57" s="9"/>
      <c r="BY57" s="9"/>
      <c r="BZ57" s="9"/>
      <c r="CA57" s="9"/>
      <c r="CB57" s="9"/>
      <c r="CD57" s="9"/>
      <c r="CE57" s="9"/>
      <c r="CF57" s="9"/>
      <c r="CG57" s="9"/>
      <c r="CH57" s="9"/>
      <c r="CI57" s="9"/>
      <c r="CJ57" s="9"/>
    </row>
    <row r="58" spans="1:88" x14ac:dyDescent="0.3">
      <c r="B58" s="9"/>
      <c r="C58" s="9"/>
      <c r="D58" s="9"/>
      <c r="E58" s="9"/>
      <c r="F58" s="9"/>
      <c r="G58" s="9"/>
      <c r="H58" s="9"/>
      <c r="J58" s="9"/>
      <c r="K58" s="9"/>
      <c r="L58" s="9"/>
      <c r="M58" s="9"/>
      <c r="N58" s="9"/>
      <c r="O58" s="9"/>
      <c r="P58" s="9"/>
      <c r="R58" s="9"/>
      <c r="S58" s="9"/>
      <c r="T58" s="9"/>
      <c r="U58" s="9"/>
      <c r="V58" s="9"/>
      <c r="W58" s="9"/>
      <c r="X58" s="9"/>
      <c r="Z58" s="9"/>
      <c r="AA58" s="9"/>
      <c r="AB58" s="9"/>
      <c r="AC58" s="9"/>
      <c r="AD58" s="9"/>
      <c r="AE58" s="9"/>
      <c r="AF58" s="9"/>
      <c r="AH58" s="9"/>
      <c r="AI58" s="9"/>
      <c r="AJ58" s="9"/>
      <c r="AK58" s="9"/>
      <c r="AL58" s="9"/>
      <c r="AM58" s="9"/>
      <c r="AN58" s="9"/>
      <c r="AP58" s="9"/>
      <c r="AQ58" s="9"/>
      <c r="AR58" s="9"/>
      <c r="AS58" s="9"/>
      <c r="AT58" s="9"/>
      <c r="AU58" s="9"/>
      <c r="AV58" s="9"/>
      <c r="AX58" s="9"/>
      <c r="AY58" s="9"/>
      <c r="AZ58" s="9"/>
      <c r="BA58" s="9"/>
      <c r="BB58" s="9"/>
      <c r="BC58" s="9"/>
      <c r="BD58" s="9"/>
      <c r="BF58" s="9"/>
      <c r="BG58" s="9"/>
      <c r="BH58" s="9"/>
      <c r="BI58" s="9"/>
      <c r="BJ58" s="9"/>
      <c r="BK58" s="9"/>
      <c r="BL58" s="9"/>
      <c r="BN58" s="9"/>
      <c r="BO58" s="9"/>
      <c r="BP58" s="9"/>
      <c r="BQ58" s="9"/>
      <c r="BR58" s="9"/>
      <c r="BS58" s="9"/>
      <c r="BT58" s="9"/>
      <c r="BV58" s="9"/>
      <c r="BW58" s="9"/>
      <c r="BX58" s="9"/>
      <c r="BY58" s="9"/>
      <c r="BZ58" s="9"/>
      <c r="CA58" s="9"/>
      <c r="CB58" s="9"/>
      <c r="CD58" s="9"/>
      <c r="CE58" s="9"/>
      <c r="CF58" s="9"/>
      <c r="CG58" s="9"/>
      <c r="CH58" s="9"/>
      <c r="CI58" s="9"/>
      <c r="CJ58" s="9"/>
    </row>
    <row r="59" spans="1:88" x14ac:dyDescent="0.3">
      <c r="B59" s="9"/>
      <c r="C59" s="9"/>
      <c r="D59" s="9"/>
      <c r="E59" s="9"/>
      <c r="F59" s="9"/>
      <c r="G59" s="9"/>
      <c r="H59" s="9"/>
      <c r="J59" s="9"/>
      <c r="K59" s="9"/>
      <c r="L59" s="9"/>
      <c r="M59" s="9"/>
      <c r="N59" s="9"/>
      <c r="O59" s="9"/>
      <c r="P59" s="9"/>
      <c r="R59" s="9"/>
      <c r="S59" s="9"/>
      <c r="T59" s="9"/>
      <c r="U59" s="9"/>
      <c r="V59" s="9"/>
      <c r="W59" s="9"/>
      <c r="X59" s="9"/>
      <c r="Z59" s="9"/>
      <c r="AA59" s="9"/>
      <c r="AB59" s="9"/>
      <c r="AC59" s="9"/>
      <c r="AD59" s="9"/>
      <c r="AE59" s="9"/>
      <c r="AF59" s="9"/>
      <c r="AH59" s="9"/>
      <c r="AI59" s="9"/>
      <c r="AJ59" s="9"/>
      <c r="AK59" s="9"/>
      <c r="AL59" s="9"/>
      <c r="AM59" s="9"/>
      <c r="AN59" s="9"/>
      <c r="AP59" s="9"/>
      <c r="AQ59" s="9"/>
      <c r="AR59" s="9"/>
      <c r="AS59" s="9"/>
      <c r="AT59" s="9"/>
      <c r="AU59" s="9"/>
      <c r="AV59" s="9"/>
      <c r="AX59" s="9"/>
      <c r="AY59" s="9"/>
      <c r="AZ59" s="9"/>
      <c r="BA59" s="9"/>
      <c r="BB59" s="9"/>
      <c r="BC59" s="9"/>
      <c r="BD59" s="9"/>
      <c r="BF59" s="9"/>
      <c r="BG59" s="9"/>
      <c r="BH59" s="9"/>
      <c r="BI59" s="9"/>
      <c r="BJ59" s="9"/>
      <c r="BK59" s="9"/>
      <c r="BL59" s="9"/>
      <c r="BN59" s="9"/>
      <c r="BO59" s="9"/>
      <c r="BP59" s="9"/>
      <c r="BQ59" s="9"/>
      <c r="BR59" s="9"/>
      <c r="BS59" s="9"/>
      <c r="BT59" s="9"/>
      <c r="BV59" s="9"/>
      <c r="BW59" s="9"/>
      <c r="BX59" s="9"/>
      <c r="BY59" s="9"/>
      <c r="BZ59" s="9"/>
      <c r="CA59" s="9"/>
      <c r="CB59" s="9"/>
      <c r="CD59" s="9"/>
      <c r="CE59" s="9"/>
      <c r="CF59" s="9"/>
      <c r="CG59" s="9"/>
      <c r="CH59" s="9"/>
      <c r="CI59" s="9"/>
      <c r="CJ59" s="9"/>
    </row>
    <row r="60" spans="1:88" x14ac:dyDescent="0.3">
      <c r="B60" s="9"/>
      <c r="C60" s="9"/>
      <c r="D60" s="9"/>
      <c r="E60" s="9"/>
      <c r="F60" s="9"/>
      <c r="G60" s="9"/>
      <c r="H60" s="9"/>
      <c r="J60" s="9"/>
      <c r="K60" s="9"/>
      <c r="L60" s="9"/>
      <c r="M60" s="9"/>
      <c r="N60" s="9"/>
      <c r="O60" s="9"/>
      <c r="P60" s="9"/>
      <c r="R60" s="9"/>
      <c r="S60" s="9"/>
      <c r="T60" s="9"/>
      <c r="U60" s="9"/>
      <c r="V60" s="9"/>
      <c r="W60" s="9"/>
      <c r="X60" s="9"/>
      <c r="Z60" s="9"/>
      <c r="AA60" s="9"/>
      <c r="AB60" s="9"/>
      <c r="AC60" s="9"/>
      <c r="AD60" s="9"/>
      <c r="AE60" s="9"/>
      <c r="AF60" s="9"/>
      <c r="AH60" s="9"/>
      <c r="AI60" s="9"/>
      <c r="AJ60" s="9"/>
      <c r="AK60" s="9"/>
      <c r="AL60" s="9"/>
      <c r="AM60" s="9"/>
      <c r="AN60" s="9"/>
      <c r="AP60" s="9"/>
      <c r="AQ60" s="9"/>
      <c r="AR60" s="9"/>
      <c r="AS60" s="9"/>
      <c r="AT60" s="9"/>
      <c r="AU60" s="9"/>
      <c r="AV60" s="9"/>
      <c r="AX60" s="9"/>
      <c r="AY60" s="9"/>
      <c r="AZ60" s="9"/>
      <c r="BA60" s="9"/>
      <c r="BB60" s="9"/>
      <c r="BC60" s="9"/>
      <c r="BD60" s="9"/>
      <c r="BF60" s="9"/>
      <c r="BG60" s="9"/>
      <c r="BH60" s="9"/>
      <c r="BI60" s="9"/>
      <c r="BJ60" s="9"/>
      <c r="BK60" s="9"/>
      <c r="BL60" s="9"/>
      <c r="BN60" s="9"/>
      <c r="BO60" s="9"/>
      <c r="BP60" s="9"/>
      <c r="BQ60" s="9"/>
      <c r="BR60" s="9"/>
      <c r="BS60" s="9"/>
      <c r="BT60" s="9"/>
      <c r="BV60" s="9"/>
      <c r="BW60" s="9"/>
      <c r="BX60" s="9"/>
      <c r="BY60" s="9"/>
      <c r="BZ60" s="9"/>
      <c r="CA60" s="9"/>
      <c r="CB60" s="9"/>
      <c r="CD60" s="9"/>
      <c r="CE60" s="9"/>
      <c r="CF60" s="9"/>
      <c r="CG60" s="9"/>
      <c r="CH60" s="9"/>
      <c r="CI60" s="9"/>
      <c r="CJ60" s="9"/>
    </row>
    <row r="61" spans="1:88" x14ac:dyDescent="0.3">
      <c r="B61" s="9"/>
      <c r="C61" s="9"/>
      <c r="D61" s="9"/>
      <c r="E61" s="9"/>
      <c r="F61" s="9"/>
      <c r="G61" s="9"/>
      <c r="H61" s="9"/>
      <c r="J61" s="9"/>
      <c r="K61" s="9"/>
      <c r="L61" s="9"/>
      <c r="M61" s="9"/>
      <c r="N61" s="9"/>
      <c r="O61" s="9"/>
      <c r="P61" s="9"/>
      <c r="R61" s="9"/>
      <c r="S61" s="9"/>
      <c r="T61" s="9"/>
      <c r="U61" s="9"/>
      <c r="V61" s="9"/>
      <c r="W61" s="9"/>
      <c r="X61" s="9"/>
      <c r="Z61" s="9"/>
      <c r="AA61" s="9"/>
      <c r="AB61" s="9"/>
      <c r="AC61" s="9"/>
      <c r="AD61" s="9"/>
      <c r="AE61" s="9"/>
      <c r="AF61" s="9"/>
      <c r="AH61" s="9"/>
      <c r="AI61" s="9"/>
      <c r="AJ61" s="9"/>
      <c r="AK61" s="9"/>
      <c r="AL61" s="9"/>
      <c r="AM61" s="9"/>
      <c r="AN61" s="9"/>
      <c r="AP61" s="9"/>
      <c r="AQ61" s="9"/>
      <c r="AR61" s="9"/>
      <c r="AS61" s="9"/>
      <c r="AT61" s="9"/>
      <c r="AU61" s="9"/>
      <c r="AV61" s="9"/>
      <c r="AX61" s="9"/>
      <c r="AY61" s="9"/>
      <c r="AZ61" s="9"/>
      <c r="BA61" s="9"/>
      <c r="BB61" s="9"/>
      <c r="BC61" s="9"/>
      <c r="BD61" s="9"/>
      <c r="BF61" s="9"/>
      <c r="BG61" s="9"/>
      <c r="BH61" s="9"/>
      <c r="BI61" s="9"/>
      <c r="BJ61" s="9"/>
      <c r="BK61" s="9"/>
      <c r="BL61" s="9"/>
      <c r="BN61" s="9"/>
      <c r="BO61" s="9"/>
      <c r="BP61" s="9"/>
      <c r="BQ61" s="9"/>
      <c r="BR61" s="9"/>
      <c r="BS61" s="9"/>
      <c r="BT61" s="9"/>
      <c r="BV61" s="9"/>
      <c r="BW61" s="9"/>
      <c r="BX61" s="9"/>
      <c r="BY61" s="9"/>
      <c r="BZ61" s="9"/>
      <c r="CA61" s="9"/>
      <c r="CB61" s="9"/>
      <c r="CD61" s="9"/>
      <c r="CE61" s="9"/>
      <c r="CF61" s="9"/>
      <c r="CG61" s="9"/>
      <c r="CH61" s="9"/>
      <c r="CI61" s="9"/>
      <c r="CJ61" s="9"/>
    </row>
    <row r="63" spans="1:88" x14ac:dyDescent="0.3">
      <c r="B63" s="17" t="s">
        <v>49</v>
      </c>
    </row>
  </sheetData>
  <mergeCells count="11">
    <mergeCell ref="AP1:AV1"/>
    <mergeCell ref="B1:H1"/>
    <mergeCell ref="J1:P1"/>
    <mergeCell ref="R1:X1"/>
    <mergeCell ref="Z1:AF1"/>
    <mergeCell ref="AH1:AN1"/>
    <mergeCell ref="AX1:BD1"/>
    <mergeCell ref="BF1:BL1"/>
    <mergeCell ref="BN1:BT1"/>
    <mergeCell ref="BV1:CB1"/>
    <mergeCell ref="CD1:C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AB18-D153-4F87-BB42-7B4AD9FC354E}">
  <dimension ref="B2:T42"/>
  <sheetViews>
    <sheetView showGridLines="0" zoomScale="81" zoomScaleNormal="81" workbookViewId="0">
      <selection activeCell="F1" sqref="F1"/>
    </sheetView>
  </sheetViews>
  <sheetFormatPr baseColWidth="10" defaultRowHeight="14.4" x14ac:dyDescent="0.3"/>
  <cols>
    <col min="1" max="1" width="2.77734375" customWidth="1"/>
    <col min="10" max="10" width="5.33203125" customWidth="1"/>
  </cols>
  <sheetData>
    <row r="2" spans="8:20" x14ac:dyDescent="0.3">
      <c r="H2" t="s">
        <v>71</v>
      </c>
      <c r="I2" t="e">
        <f>SLOPE(Tables!$B$5:$B$9,Tables!$C$5:$C$9)</f>
        <v>#DIV/0!</v>
      </c>
      <c r="J2" t="e">
        <f>REPLACE(I2,2,1,".")</f>
        <v>#DIV/0!</v>
      </c>
      <c r="Q2" t="s">
        <v>13</v>
      </c>
      <c r="R2" t="e">
        <f>SLOPE(Tables!$F$5:$F$9,Tables!$G$5:$G$9)</f>
        <v>#DIV/0!</v>
      </c>
      <c r="S2" t="s">
        <v>17</v>
      </c>
      <c r="T2" t="e">
        <f>SLOPE(Tables!$N$5:$N$9,Tables!$O$5:$O$9)</f>
        <v>#DIV/0!</v>
      </c>
    </row>
    <row r="3" spans="8:20" x14ac:dyDescent="0.3">
      <c r="H3" t="s">
        <v>72</v>
      </c>
      <c r="I3" t="e">
        <f>INTERCEPT(Tables!$B$5:$B$9,Tables!$C$5:$C$9)</f>
        <v>#DIV/0!</v>
      </c>
      <c r="J3" t="e">
        <f>REPLACE(I3,2,1,".")</f>
        <v>#DIV/0!</v>
      </c>
      <c r="Q3" t="s">
        <v>14</v>
      </c>
      <c r="R3" t="e">
        <f>INTERCEPT(Tables!$F$5:$F$9,Tables!$G$5:$G$9)</f>
        <v>#DIV/0!</v>
      </c>
      <c r="S3" t="s">
        <v>18</v>
      </c>
      <c r="T3" t="e">
        <f>INTERCEPT(Tables!$N$5:$N$9,Tables!$O$5:$O$9)</f>
        <v>#DIV/0!</v>
      </c>
    </row>
    <row r="4" spans="8:20" x14ac:dyDescent="0.3">
      <c r="H4" t="s">
        <v>73</v>
      </c>
      <c r="I4" t="e">
        <f>SLOPE(Tables!$D$5:$D$9,Tables!$E$5:$E$9)</f>
        <v>#DIV/0!</v>
      </c>
      <c r="J4" t="e">
        <f>REPLACE(I4,2,1,".")</f>
        <v>#DIV/0!</v>
      </c>
      <c r="Q4" t="s">
        <v>15</v>
      </c>
      <c r="R4" t="e">
        <f>SLOPE(Tables!$H$5:$H$9,Tables!$I$5:$I$9)</f>
        <v>#DIV/0!</v>
      </c>
      <c r="S4" t="s">
        <v>19</v>
      </c>
      <c r="T4" t="e">
        <f>SLOPE(Tables!$P$5:$P$9,Tables!$Q$5:$Q$9)</f>
        <v>#DIV/0!</v>
      </c>
    </row>
    <row r="5" spans="8:20" x14ac:dyDescent="0.3">
      <c r="H5" t="s">
        <v>74</v>
      </c>
      <c r="I5" t="e">
        <f>INTERCEPT(Tables!$D$5:$D$9,Tables!$E$5:$E$9)</f>
        <v>#DIV/0!</v>
      </c>
      <c r="J5" t="e">
        <f>REPLACE(I5,3,1,".")</f>
        <v>#DIV/0!</v>
      </c>
      <c r="Q5" t="s">
        <v>16</v>
      </c>
      <c r="R5" t="e">
        <f>INTERCEPT(Tables!$H$5:$H$9,Tables!$I$5:$I$9)</f>
        <v>#DIV/0!</v>
      </c>
      <c r="S5" t="s">
        <v>20</v>
      </c>
      <c r="T5" t="e">
        <f>INTERCEPT(Tables!$P$5:$P$9,Tables!$Q$5:$Q$9)</f>
        <v>#DIV/0!</v>
      </c>
    </row>
    <row r="7" spans="8:20" x14ac:dyDescent="0.3">
      <c r="H7" t="s">
        <v>75</v>
      </c>
      <c r="I7" t="e">
        <f>SLOPE(Tables!$J$5:$J$9,Tables!$K$5:$K$9)</f>
        <v>#DIV/0!</v>
      </c>
      <c r="J7" t="e">
        <f>SUBSTITUTE(I7&amp;"",",",".")</f>
        <v>#DIV/0!</v>
      </c>
      <c r="R7" t="e">
        <f>REPLACE(R2,2,1,".")</f>
        <v>#DIV/0!</v>
      </c>
      <c r="T7" t="e">
        <f>REPLACE(T2,2,1,".")</f>
        <v>#DIV/0!</v>
      </c>
    </row>
    <row r="8" spans="8:20" x14ac:dyDescent="0.3">
      <c r="H8" t="s">
        <v>76</v>
      </c>
      <c r="I8" t="e">
        <f>INTERCEPT(Tables!$J$5:$J$9,Tables!$K$5:$K$9)</f>
        <v>#DIV/0!</v>
      </c>
      <c r="J8" t="e">
        <f>SUBSTITUTE(I8&amp;"",",",".")</f>
        <v>#DIV/0!</v>
      </c>
      <c r="R8" t="e">
        <f>REPLACE(R3,4,1,".")</f>
        <v>#DIV/0!</v>
      </c>
      <c r="T8" t="e">
        <f>REPLACE(T3,4,1,".")</f>
        <v>#DIV/0!</v>
      </c>
    </row>
    <row r="9" spans="8:20" x14ac:dyDescent="0.3">
      <c r="H9" t="s">
        <v>77</v>
      </c>
      <c r="I9" t="e">
        <f>SLOPE(Tables!$L$5:$L$9,Tables!$M$5:$M$9)</f>
        <v>#DIV/0!</v>
      </c>
      <c r="J9" t="e">
        <f>SUBSTITUTE(I9&amp;"",",",".")</f>
        <v>#DIV/0!</v>
      </c>
      <c r="R9" t="e">
        <f>REPLACE(R4,2,1,".")</f>
        <v>#DIV/0!</v>
      </c>
      <c r="T9" t="e">
        <f>REPLACE(T4,2,1,".")</f>
        <v>#DIV/0!</v>
      </c>
    </row>
    <row r="10" spans="8:20" x14ac:dyDescent="0.3">
      <c r="H10" t="s">
        <v>78</v>
      </c>
      <c r="I10" t="e">
        <f>INTERCEPT(Tables!$L$5:$L$9,Tables!$M$5:$M$9)</f>
        <v>#DIV/0!</v>
      </c>
      <c r="J10" t="e">
        <f>SUBSTITUTE(I10&amp;"",",",".")</f>
        <v>#DIV/0!</v>
      </c>
      <c r="R10" t="e">
        <f>REPLACE(R5,3,1,".")</f>
        <v>#DIV/0!</v>
      </c>
      <c r="T10" t="e">
        <f>REPLACE(T5,3,1,".")</f>
        <v>#DIV/0!</v>
      </c>
    </row>
    <row r="12" spans="8:20" x14ac:dyDescent="0.3">
      <c r="H12" s="16" t="s">
        <v>79</v>
      </c>
      <c r="R12" s="14" t="s">
        <v>31</v>
      </c>
    </row>
    <row r="13" spans="8:20" x14ac:dyDescent="0.3">
      <c r="H13" t="s">
        <v>80</v>
      </c>
      <c r="I13" s="18" t="str">
        <f>IFERROR((I7-I2)/I2,"")</f>
        <v/>
      </c>
      <c r="R13" s="15"/>
    </row>
    <row r="14" spans="8:20" x14ac:dyDescent="0.3">
      <c r="H14" t="s">
        <v>11</v>
      </c>
      <c r="I14" t="str">
        <f>IFERROR(I8-I3,"")</f>
        <v/>
      </c>
      <c r="R14" s="15"/>
    </row>
    <row r="15" spans="8:20" x14ac:dyDescent="0.3">
      <c r="H15" t="s">
        <v>81</v>
      </c>
      <c r="I15" s="18" t="str">
        <f>IFERROR((I9-I4)/I4,"")</f>
        <v/>
      </c>
      <c r="R15" s="15"/>
    </row>
    <row r="16" spans="8:20" x14ac:dyDescent="0.3">
      <c r="H16" t="s">
        <v>12</v>
      </c>
      <c r="I16" t="str">
        <f>IFERROR(I10-I5,"")</f>
        <v/>
      </c>
      <c r="R16" s="15"/>
    </row>
    <row r="17" spans="2:18" x14ac:dyDescent="0.3">
      <c r="R17" s="15"/>
    </row>
    <row r="32" spans="2:18" x14ac:dyDescent="0.3">
      <c r="B32" s="16" t="s">
        <v>82</v>
      </c>
    </row>
    <row r="33" spans="2:2" x14ac:dyDescent="0.3">
      <c r="B33" s="19" t="str">
        <f>IFERROR("shield.sensors.setConversionParametersLinear(V_HIGH, "&amp;SUBSTITUTE(I2&amp;"",",",".")&amp;IF(I2=INT(I2),".0","")&amp;"F"&amp;", "&amp;SUBSTITUTE(I3&amp;"",",",".")&amp;IF(I3=INT(I3),".0","")&amp;"F"&amp;");","// V_HIGH: no data yet")</f>
        <v>// V_HIGH: no data yet</v>
      </c>
    </row>
    <row r="34" spans="2:2" x14ac:dyDescent="0.3">
      <c r="B34" s="19" t="str">
        <f>IFERROR("shield.sensors.setConversionParametersLinear(I_HIGH, "&amp;SUBSTITUTE(I4&amp;"",",",".")&amp;IF(I4=INT(I4),".0","")&amp;"F"&amp;", "&amp;SUBSTITUTE(I5&amp;"",",",".")&amp;IF(I5=INT(I5),".0","")&amp;"F"&amp;");","// I_HIGH: no data yet")</f>
        <v>// I_HIGH: no data yet</v>
      </c>
    </row>
    <row r="35" spans="2:2" x14ac:dyDescent="0.3">
      <c r="B35" s="19" t="str">
        <f>IFERROR("shield.sensors.setConversionParametersLinear(V1_LOW, "&amp;SUBSTITUTE(R2&amp;"",",",".")&amp;IF(R2=INT(R2),".0","")&amp;"F"&amp;", "&amp;SUBSTITUTE(R3&amp;"",",",".")&amp;IF(R3=INT(R3),".0","")&amp;"F"&amp;");","// V1_LOW: no data yet")</f>
        <v>// V1_LOW: no data yet</v>
      </c>
    </row>
    <row r="36" spans="2:2" x14ac:dyDescent="0.3">
      <c r="B36" s="19" t="str">
        <f>IFERROR("shield.sensors.setConversionParametersLinear(I1_LOW, "&amp;SUBSTITUTE(R4&amp;"",",",".")&amp;IF(R4=INT(R4),".0","")&amp;"F"&amp;", "&amp;SUBSTITUTE(R5&amp;"",",",".")&amp;IF(R5=INT(R5),".0","")&amp;"F"&amp;");","// I1_LOW: no data yet")</f>
        <v>// I1_LOW: no data yet</v>
      </c>
    </row>
    <row r="37" spans="2:2" x14ac:dyDescent="0.3">
      <c r="B37" s="19" t="str">
        <f>IFERROR("shield.sensors.setConversionParametersLinear(V2_LOW, "&amp;SUBSTITUTE(T2&amp;"",",",".")&amp;IF(T2=INT(T2),".0","")&amp;"F"&amp;", "&amp;SUBSTITUTE(T3&amp;"",",",".")&amp;IF(T3=INT(T3),".0","")&amp;"F"&amp;");","// V2_LOW: no data yet")</f>
        <v>// V2_LOW: no data yet</v>
      </c>
    </row>
    <row r="38" spans="2:2" x14ac:dyDescent="0.3">
      <c r="B38" s="19" t="str">
        <f>IFERROR("shield.sensors.setConversionParametersLinear(I2_LOW, "&amp;SUBSTITUTE(T4&amp;"",",",".")&amp;IF(T4=INT(T4),".0","")&amp;"F"&amp;", "&amp;SUBSTITUTE(T5&amp;"",",",".")&amp;IF(T5=INT(T5),".0","")&amp;"F"&amp;");","// I2_LOW: no data yet")</f>
        <v>// I2_LOW: no data yet</v>
      </c>
    </row>
    <row r="40" spans="2:2" x14ac:dyDescent="0.3">
      <c r="B40" s="16" t="s">
        <v>83</v>
      </c>
    </row>
    <row r="41" spans="2:2" x14ac:dyDescent="0.3">
      <c r="B41" s="19" t="str">
        <f>IFERROR("shield.sensors.setConversionParametersLinear(V_HIGH, "&amp;SUBSTITUTE(I7&amp;"",",",".")&amp;IF(I7=INT(I7),".0","")&amp;"F"&amp;", "&amp;SUBSTITUTE(I8&amp;"",",",".")&amp;IF(I8=INT(I8),".0","")&amp;"F"&amp;");","// V_HIGH: no data yet")</f>
        <v>// V_HIGH: no data yet</v>
      </c>
    </row>
    <row r="42" spans="2:2" x14ac:dyDescent="0.3">
      <c r="B42" s="19" t="str">
        <f>IFERROR("shield.sensors.setConversionParametersLinear(I_HIGH, "&amp;SUBSTITUTE(I9&amp;"",",",".")&amp;IF(I9=INT(I9),".0","")&amp;"F"&amp;", "&amp;SUBSTITUTE(I10&amp;"",",",".")&amp;IF(I10=INT(I10),".0","")&amp;"F"&amp;");","// I_HIGH: no data yet")</f>
        <v>// I_HIGH: no data yet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8AC35-F219-47F5-96A5-6D29F2D07F66}">
  <dimension ref="B2:T42"/>
  <sheetViews>
    <sheetView zoomScale="85" zoomScaleNormal="85" workbookViewId="0">
      <selection activeCell="F1" sqref="F1"/>
    </sheetView>
  </sheetViews>
  <sheetFormatPr baseColWidth="10" defaultRowHeight="14.4" x14ac:dyDescent="0.3"/>
  <sheetData>
    <row r="2" spans="8:20" x14ac:dyDescent="0.3">
      <c r="H2" t="s">
        <v>71</v>
      </c>
      <c r="I2" t="e">
        <f>SLOPE(Tables!$B$13:$B$17,Tables!$C$13:$C$17)</f>
        <v>#DIV/0!</v>
      </c>
      <c r="J2" t="e">
        <f>REPLACE(I2,2,1,".")</f>
        <v>#DIV/0!</v>
      </c>
      <c r="Q2" t="s">
        <v>13</v>
      </c>
      <c r="R2" t="e">
        <f>SLOPE(Tables!$F$13:$F$17,Tables!$G$13:$G$17)</f>
        <v>#DIV/0!</v>
      </c>
      <c r="S2" t="s">
        <v>17</v>
      </c>
      <c r="T2" t="e">
        <f>SLOPE(Tables!$N$13:$N$17,Tables!$O$13:$O$17)</f>
        <v>#DIV/0!</v>
      </c>
    </row>
    <row r="3" spans="8:20" x14ac:dyDescent="0.3">
      <c r="H3" t="s">
        <v>72</v>
      </c>
      <c r="I3" t="e">
        <f>INTERCEPT(Tables!$B$13:$B$17,Tables!$C$13:$C$17)</f>
        <v>#DIV/0!</v>
      </c>
      <c r="J3" t="e">
        <f>REPLACE(I3,2,1,".")</f>
        <v>#DIV/0!</v>
      </c>
      <c r="Q3" t="s">
        <v>14</v>
      </c>
      <c r="R3" t="e">
        <f>INTERCEPT(Tables!$F$13:$F$17,Tables!$G$13:$G$17)</f>
        <v>#DIV/0!</v>
      </c>
      <c r="S3" t="s">
        <v>18</v>
      </c>
      <c r="T3" t="e">
        <f>INTERCEPT(Tables!$N$13:$N$17,Tables!$O$13:$O$17)</f>
        <v>#DIV/0!</v>
      </c>
    </row>
    <row r="4" spans="8:20" x14ac:dyDescent="0.3">
      <c r="H4" t="s">
        <v>73</v>
      </c>
      <c r="I4" t="e">
        <f>SLOPE(Tables!$D$13:$D$17,Tables!$E$13:$E$17)</f>
        <v>#DIV/0!</v>
      </c>
      <c r="J4" t="e">
        <f>REPLACE(I4,2,1,".")</f>
        <v>#DIV/0!</v>
      </c>
      <c r="Q4" t="s">
        <v>15</v>
      </c>
      <c r="R4" t="e">
        <f>SLOPE(Tables!$H$13:$H$17,Tables!$I$13:$I$17)</f>
        <v>#DIV/0!</v>
      </c>
      <c r="S4" t="s">
        <v>19</v>
      </c>
      <c r="T4" t="e">
        <f>SLOPE(Tables!$P$13:$P$17,Tables!$Q$13:$Q$17)</f>
        <v>#DIV/0!</v>
      </c>
    </row>
    <row r="5" spans="8:20" x14ac:dyDescent="0.3">
      <c r="H5" t="s">
        <v>74</v>
      </c>
      <c r="I5" t="e">
        <f>INTERCEPT(Tables!$D$13:$D$17,Tables!$E$13:$E$17)</f>
        <v>#DIV/0!</v>
      </c>
      <c r="J5" t="e">
        <f>REPLACE(I5,3,1,".")</f>
        <v>#DIV/0!</v>
      </c>
      <c r="Q5" t="s">
        <v>16</v>
      </c>
      <c r="R5" t="e">
        <f>INTERCEPT(Tables!$H$13:$H$17,Tables!$I$13:$I$17)</f>
        <v>#DIV/0!</v>
      </c>
      <c r="S5" t="s">
        <v>20</v>
      </c>
      <c r="T5" t="e">
        <f>INTERCEPT(Tables!$P$13:$P$17,Tables!$Q$13:$Q$17)</f>
        <v>#DIV/0!</v>
      </c>
    </row>
    <row r="7" spans="8:20" x14ac:dyDescent="0.3">
      <c r="H7" t="s">
        <v>75</v>
      </c>
      <c r="I7" t="e">
        <f>SLOPE(Tables!$J$13:$J$17,Tables!$K$13:$K$17)</f>
        <v>#DIV/0!</v>
      </c>
      <c r="J7" t="e">
        <f>SUBSTITUTE(I7&amp;"",",",".")</f>
        <v>#DIV/0!</v>
      </c>
      <c r="R7" t="e">
        <f>REPLACE(R2,2,1,".")</f>
        <v>#DIV/0!</v>
      </c>
      <c r="T7" t="e">
        <f>REPLACE(T2,2,1,".")</f>
        <v>#DIV/0!</v>
      </c>
    </row>
    <row r="8" spans="8:20" x14ac:dyDescent="0.3">
      <c r="H8" t="s">
        <v>76</v>
      </c>
      <c r="I8" t="e">
        <f>INTERCEPT(Tables!$J$13:$J$17,Tables!$K$13:$K$17)</f>
        <v>#DIV/0!</v>
      </c>
      <c r="J8" t="e">
        <f>SUBSTITUTE(I8&amp;"",",",".")</f>
        <v>#DIV/0!</v>
      </c>
      <c r="R8" t="e">
        <f>REPLACE(R3,4,1,".")</f>
        <v>#DIV/0!</v>
      </c>
      <c r="T8" t="e">
        <f>REPLACE(T3,4,1,".")</f>
        <v>#DIV/0!</v>
      </c>
    </row>
    <row r="9" spans="8:20" x14ac:dyDescent="0.3">
      <c r="H9" t="s">
        <v>77</v>
      </c>
      <c r="I9" t="e">
        <f>SLOPE(Tables!$L$13:$L$17,Tables!$M$13:$M$17)</f>
        <v>#DIV/0!</v>
      </c>
      <c r="J9" t="e">
        <f>SUBSTITUTE(I9&amp;"",",",".")</f>
        <v>#DIV/0!</v>
      </c>
      <c r="R9" t="e">
        <f>REPLACE(R4,2,1,".")</f>
        <v>#DIV/0!</v>
      </c>
      <c r="T9" t="e">
        <f>REPLACE(T4,2,1,".")</f>
        <v>#DIV/0!</v>
      </c>
    </row>
    <row r="10" spans="8:20" x14ac:dyDescent="0.3">
      <c r="H10" t="s">
        <v>78</v>
      </c>
      <c r="I10" t="e">
        <f>INTERCEPT(Tables!$L$13:$L$17,Tables!$M$13:$M$17)</f>
        <v>#DIV/0!</v>
      </c>
      <c r="J10" t="e">
        <f>SUBSTITUTE(I10&amp;"",",",".")</f>
        <v>#DIV/0!</v>
      </c>
      <c r="R10" t="e">
        <f>REPLACE(R5,3,1,".")</f>
        <v>#DIV/0!</v>
      </c>
      <c r="T10" t="e">
        <f>REPLACE(T5,3,1,".")</f>
        <v>#DIV/0!</v>
      </c>
    </row>
    <row r="12" spans="8:20" x14ac:dyDescent="0.3">
      <c r="H12" s="16" t="s">
        <v>79</v>
      </c>
    </row>
    <row r="13" spans="8:20" x14ac:dyDescent="0.3">
      <c r="H13" t="s">
        <v>80</v>
      </c>
      <c r="I13" s="18" t="str">
        <f>IFERROR((I7-I2)/I2,"")</f>
        <v/>
      </c>
    </row>
    <row r="14" spans="8:20" x14ac:dyDescent="0.3">
      <c r="H14" t="s">
        <v>11</v>
      </c>
      <c r="I14" t="str">
        <f>IFERROR(I8-I3,"")</f>
        <v/>
      </c>
    </row>
    <row r="15" spans="8:20" x14ac:dyDescent="0.3">
      <c r="H15" t="s">
        <v>81</v>
      </c>
      <c r="I15" s="18" t="str">
        <f>IFERROR((I9-I4)/I4,"")</f>
        <v/>
      </c>
    </row>
    <row r="16" spans="8:20" x14ac:dyDescent="0.3">
      <c r="H16" t="s">
        <v>12</v>
      </c>
      <c r="I16" t="str">
        <f>IFERROR(I10-I5,"")</f>
        <v/>
      </c>
    </row>
    <row r="32" spans="2:2" x14ac:dyDescent="0.3">
      <c r="B32" s="16" t="s">
        <v>82</v>
      </c>
    </row>
    <row r="33" spans="2:2" x14ac:dyDescent="0.3">
      <c r="B33" s="19" t="str">
        <f>IFERROR("shield.sensors.setConversionParametersLinear(V_HIGH, "&amp;SUBSTITUTE(I2&amp;"",",",".")&amp;IF(I2=INT(I2),".0","")&amp;"F"&amp;", "&amp;SUBSTITUTE(I3&amp;"",",",".")&amp;IF(I3=INT(I3),".0","")&amp;"F"&amp;");","// V_HIGH: no data yet")</f>
        <v>// V_HIGH: no data yet</v>
      </c>
    </row>
    <row r="34" spans="2:2" x14ac:dyDescent="0.3">
      <c r="B34" s="19" t="str">
        <f>IFERROR("shield.sensors.setConversionParametersLinear(I_HIGH, "&amp;SUBSTITUTE(I4&amp;"",",",".")&amp;IF(I4=INT(I4),".0","")&amp;"F"&amp;", "&amp;SUBSTITUTE(I5&amp;"",",",".")&amp;IF(I5=INT(I5),".0","")&amp;"F"&amp;");","// I_HIGH: no data yet")</f>
        <v>// I_HIGH: no data yet</v>
      </c>
    </row>
    <row r="35" spans="2:2" x14ac:dyDescent="0.3">
      <c r="B35" s="19" t="str">
        <f>IFERROR("shield.sensors.setConversionParametersLinear(V1_LOW, "&amp;SUBSTITUTE(R2&amp;"",",",".")&amp;IF(R2=INT(R2),".0","")&amp;"F"&amp;", "&amp;SUBSTITUTE(R3&amp;"",",",".")&amp;IF(R3=INT(R3),".0","")&amp;"F"&amp;");","// V1_LOW: no data yet")</f>
        <v>// V1_LOW: no data yet</v>
      </c>
    </row>
    <row r="36" spans="2:2" x14ac:dyDescent="0.3">
      <c r="B36" s="19" t="str">
        <f>IFERROR("shield.sensors.setConversionParametersLinear(I1_LOW, "&amp;SUBSTITUTE(R4&amp;"",",",".")&amp;IF(R4=INT(R4),".0","")&amp;"F"&amp;", "&amp;SUBSTITUTE(R5&amp;"",",",".")&amp;IF(R5=INT(R5),".0","")&amp;"F"&amp;");","// I1_LOW: no data yet")</f>
        <v>// I1_LOW: no data yet</v>
      </c>
    </row>
    <row r="37" spans="2:2" x14ac:dyDescent="0.3">
      <c r="B37" s="19" t="str">
        <f>IFERROR("shield.sensors.setConversionParametersLinear(V2_LOW, "&amp;SUBSTITUTE(T2&amp;"",",",".")&amp;IF(T2=INT(T2),".0","")&amp;"F"&amp;", "&amp;SUBSTITUTE(T3&amp;"",",",".")&amp;IF(T3=INT(T3),".0","")&amp;"F"&amp;");","// V2_LOW: no data yet")</f>
        <v>// V2_LOW: no data yet</v>
      </c>
    </row>
    <row r="38" spans="2:2" x14ac:dyDescent="0.3">
      <c r="B38" s="19" t="str">
        <f>IFERROR("shield.sensors.setConversionParametersLinear(I2_LOW, "&amp;SUBSTITUTE(T4&amp;"",",",".")&amp;IF(T4=INT(T4),".0","")&amp;"F"&amp;", "&amp;SUBSTITUTE(T5&amp;"",",",".")&amp;IF(T5=INT(T5),".0","")&amp;"F"&amp;");","// I2_LOW: no data yet")</f>
        <v>// I2_LOW: no data yet</v>
      </c>
    </row>
    <row r="40" spans="2:2" x14ac:dyDescent="0.3">
      <c r="B40" s="16" t="s">
        <v>83</v>
      </c>
    </row>
    <row r="41" spans="2:2" x14ac:dyDescent="0.3">
      <c r="B41" s="19" t="str">
        <f>IFERROR("shield.sensors.setConversionParametersLinear(V_HIGH, "&amp;SUBSTITUTE(I7&amp;"",",",".")&amp;IF(I7=INT(I7),".0","")&amp;"F"&amp;", "&amp;SUBSTITUTE(I8&amp;"",",",".")&amp;IF(I8=INT(I8),".0","")&amp;"F"&amp;");","// V_HIGH: no data yet")</f>
        <v>// V_HIGH: no data yet</v>
      </c>
    </row>
    <row r="42" spans="2:2" x14ac:dyDescent="0.3">
      <c r="B42" s="19" t="str">
        <f>IFERROR("shield.sensors.setConversionParametersLinear(I_HIGH, "&amp;SUBSTITUTE(I9&amp;"",",",".")&amp;IF(I9=INT(I9),".0","")&amp;"F"&amp;", "&amp;SUBSTITUTE(I10&amp;"",",",".")&amp;IF(I10=INT(I10),".0","")&amp;"F"&amp;");","// I_HIGH: no data yet")</f>
        <v>// I_HIGH: no data yet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216F-08E9-4D1C-A7B5-347EBE93C0D2}">
  <dimension ref="B2:T42"/>
  <sheetViews>
    <sheetView zoomScale="85" zoomScaleNormal="85" workbookViewId="0">
      <selection activeCell="F1" sqref="F1"/>
    </sheetView>
  </sheetViews>
  <sheetFormatPr baseColWidth="10" defaultRowHeight="14.4" x14ac:dyDescent="0.3"/>
  <sheetData>
    <row r="2" spans="8:20" x14ac:dyDescent="0.3">
      <c r="H2" t="s">
        <v>71</v>
      </c>
      <c r="I2" t="e">
        <f>SLOPE(Tables!$B$21:$B$25,Tables!$C$21:$C$25)</f>
        <v>#DIV/0!</v>
      </c>
      <c r="J2" t="e">
        <f>REPLACE(I2,2,1,".")</f>
        <v>#DIV/0!</v>
      </c>
      <c r="Q2" t="s">
        <v>13</v>
      </c>
      <c r="R2" t="e">
        <f>SLOPE(Tables!$F$21:$F$25,Tables!$G$21:$G$25)</f>
        <v>#DIV/0!</v>
      </c>
      <c r="S2" t="s">
        <v>17</v>
      </c>
      <c r="T2" t="e">
        <f>SLOPE(Tables!$N$21:$N$25,Tables!$O$21:$O$25)</f>
        <v>#DIV/0!</v>
      </c>
    </row>
    <row r="3" spans="8:20" x14ac:dyDescent="0.3">
      <c r="H3" t="s">
        <v>72</v>
      </c>
      <c r="I3" t="e">
        <f>INTERCEPT(Tables!$B$21:$B$25,Tables!$C$21:$C$25)</f>
        <v>#DIV/0!</v>
      </c>
      <c r="J3" t="e">
        <f>REPLACE(I3,2,1,".")</f>
        <v>#DIV/0!</v>
      </c>
      <c r="Q3" t="s">
        <v>14</v>
      </c>
      <c r="R3" t="e">
        <f>INTERCEPT(Tables!$F$21:$F$25,Tables!$G$21:$G$25)</f>
        <v>#DIV/0!</v>
      </c>
      <c r="S3" t="s">
        <v>18</v>
      </c>
      <c r="T3" t="e">
        <f>INTERCEPT(Tables!$N$21:$N$25,Tables!$O$21:$O$25)</f>
        <v>#DIV/0!</v>
      </c>
    </row>
    <row r="4" spans="8:20" x14ac:dyDescent="0.3">
      <c r="H4" t="s">
        <v>73</v>
      </c>
      <c r="I4" t="e">
        <f>SLOPE(Tables!$D$21:$D$25,Tables!$E$21:$E$25)</f>
        <v>#DIV/0!</v>
      </c>
      <c r="J4" t="e">
        <f>REPLACE(I4,2,1,".")</f>
        <v>#DIV/0!</v>
      </c>
      <c r="Q4" t="s">
        <v>15</v>
      </c>
      <c r="R4" t="e">
        <f>SLOPE(Tables!$H$21:$H$25,Tables!$I$21:$I$25)</f>
        <v>#DIV/0!</v>
      </c>
      <c r="S4" t="s">
        <v>19</v>
      </c>
      <c r="T4" t="e">
        <f>SLOPE(Tables!$P$21:$P$25,Tables!$Q$21:$Q$25)</f>
        <v>#DIV/0!</v>
      </c>
    </row>
    <row r="5" spans="8:20" x14ac:dyDescent="0.3">
      <c r="H5" t="s">
        <v>74</v>
      </c>
      <c r="I5" t="e">
        <f>INTERCEPT(Tables!$D$21:$D$25,Tables!$E$21:$E$25)</f>
        <v>#DIV/0!</v>
      </c>
      <c r="J5" t="e">
        <f>REPLACE(I5,3,1,".")</f>
        <v>#DIV/0!</v>
      </c>
      <c r="Q5" t="s">
        <v>16</v>
      </c>
      <c r="R5" t="e">
        <f>INTERCEPT(Tables!$H$21:$H$25,Tables!$I$21:$I$25)</f>
        <v>#DIV/0!</v>
      </c>
      <c r="S5" t="s">
        <v>20</v>
      </c>
      <c r="T5" t="e">
        <f>INTERCEPT(Tables!$P$21:$P$25,Tables!$Q$21:$Q$25)</f>
        <v>#DIV/0!</v>
      </c>
    </row>
    <row r="7" spans="8:20" x14ac:dyDescent="0.3">
      <c r="H7" t="s">
        <v>75</v>
      </c>
      <c r="I7" t="e">
        <f>SLOPE(Tables!$J$21:$J$25,Tables!$K$21:$K$25)</f>
        <v>#DIV/0!</v>
      </c>
      <c r="J7" t="e">
        <f>SUBSTITUTE(I7&amp;"",",",".")</f>
        <v>#DIV/0!</v>
      </c>
      <c r="R7" t="e">
        <f>REPLACE(R2,2,1,".")</f>
        <v>#DIV/0!</v>
      </c>
      <c r="T7" t="e">
        <f>REPLACE(T2,2,1,".")</f>
        <v>#DIV/0!</v>
      </c>
    </row>
    <row r="8" spans="8:20" x14ac:dyDescent="0.3">
      <c r="H8" t="s">
        <v>76</v>
      </c>
      <c r="I8" t="e">
        <f>INTERCEPT(Tables!$J$21:$J$25,Tables!$K$21:$K$25)</f>
        <v>#DIV/0!</v>
      </c>
      <c r="J8" t="e">
        <f>SUBSTITUTE(I8&amp;"",",",".")</f>
        <v>#DIV/0!</v>
      </c>
      <c r="R8" t="e">
        <f>REPLACE(R3,4,1,".")</f>
        <v>#DIV/0!</v>
      </c>
      <c r="T8" t="e">
        <f>REPLACE(T3,4,1,".")</f>
        <v>#DIV/0!</v>
      </c>
    </row>
    <row r="9" spans="8:20" x14ac:dyDescent="0.3">
      <c r="H9" t="s">
        <v>77</v>
      </c>
      <c r="I9" t="e">
        <f>SLOPE(Tables!$L$21:$L$25,Tables!$M$21:$M$25)</f>
        <v>#DIV/0!</v>
      </c>
      <c r="J9" t="e">
        <f>SUBSTITUTE(I9&amp;"",",",".")</f>
        <v>#DIV/0!</v>
      </c>
      <c r="R9" t="e">
        <f>REPLACE(R4,2,1,".")</f>
        <v>#DIV/0!</v>
      </c>
      <c r="T9" t="e">
        <f>REPLACE(T4,2,1,".")</f>
        <v>#DIV/0!</v>
      </c>
    </row>
    <row r="10" spans="8:20" x14ac:dyDescent="0.3">
      <c r="H10" t="s">
        <v>78</v>
      </c>
      <c r="I10" t="e">
        <f>INTERCEPT(Tables!$L$21:$L$25,Tables!$M$21:$M$25)</f>
        <v>#DIV/0!</v>
      </c>
      <c r="J10" t="e">
        <f>SUBSTITUTE(I10&amp;"",",",".")</f>
        <v>#DIV/0!</v>
      </c>
      <c r="R10" t="e">
        <f>REPLACE(R5,3,1,".")</f>
        <v>#DIV/0!</v>
      </c>
      <c r="T10" t="e">
        <f>REPLACE(T5,3,1,".")</f>
        <v>#DIV/0!</v>
      </c>
    </row>
    <row r="12" spans="8:20" x14ac:dyDescent="0.3">
      <c r="H12" s="16" t="s">
        <v>79</v>
      </c>
    </row>
    <row r="13" spans="8:20" x14ac:dyDescent="0.3">
      <c r="H13" t="s">
        <v>80</v>
      </c>
      <c r="I13" s="18" t="str">
        <f>IFERROR((I7-I2)/I2,"")</f>
        <v/>
      </c>
    </row>
    <row r="14" spans="8:20" x14ac:dyDescent="0.3">
      <c r="H14" t="s">
        <v>11</v>
      </c>
      <c r="I14" t="str">
        <f>IFERROR(I8-I3,"")</f>
        <v/>
      </c>
    </row>
    <row r="15" spans="8:20" x14ac:dyDescent="0.3">
      <c r="H15" t="s">
        <v>81</v>
      </c>
      <c r="I15" s="18" t="str">
        <f>IFERROR((I9-I4)/I4,"")</f>
        <v/>
      </c>
    </row>
    <row r="16" spans="8:20" x14ac:dyDescent="0.3">
      <c r="H16" t="s">
        <v>12</v>
      </c>
      <c r="I16" t="str">
        <f>IFERROR(I10-I5,"")</f>
        <v/>
      </c>
    </row>
    <row r="32" spans="2:2" x14ac:dyDescent="0.3">
      <c r="B32" s="16" t="s">
        <v>82</v>
      </c>
    </row>
    <row r="33" spans="2:2" x14ac:dyDescent="0.3">
      <c r="B33" s="19" t="str">
        <f>IFERROR("shield.sensors.setConversionParametersLinear(V_HIGH, "&amp;SUBSTITUTE(I2&amp;"",",",".")&amp;IF(I2=INT(I2),".0","")&amp;"F"&amp;", "&amp;SUBSTITUTE(I3&amp;"",",",".")&amp;IF(I3=INT(I3),".0","")&amp;"F"&amp;");","// V_HIGH: no data yet")</f>
        <v>// V_HIGH: no data yet</v>
      </c>
    </row>
    <row r="34" spans="2:2" x14ac:dyDescent="0.3">
      <c r="B34" s="19" t="str">
        <f>IFERROR("shield.sensors.setConversionParametersLinear(I_HIGH, "&amp;SUBSTITUTE(I4&amp;"",",",".")&amp;IF(I4=INT(I4),".0","")&amp;"F"&amp;", "&amp;SUBSTITUTE(I5&amp;"",",",".")&amp;IF(I5=INT(I5),".0","")&amp;"F"&amp;");","// I_HIGH: no data yet")</f>
        <v>// I_HIGH: no data yet</v>
      </c>
    </row>
    <row r="35" spans="2:2" x14ac:dyDescent="0.3">
      <c r="B35" s="19" t="str">
        <f>IFERROR("shield.sensors.setConversionParametersLinear(V1_LOW, "&amp;SUBSTITUTE(R2&amp;"",",",".")&amp;IF(R2=INT(R2),".0","")&amp;"F"&amp;", "&amp;SUBSTITUTE(R3&amp;"",",",".")&amp;IF(R3=INT(R3),".0","")&amp;"F"&amp;");","// V1_LOW: no data yet")</f>
        <v>// V1_LOW: no data yet</v>
      </c>
    </row>
    <row r="36" spans="2:2" x14ac:dyDescent="0.3">
      <c r="B36" s="19" t="str">
        <f>IFERROR("shield.sensors.setConversionParametersLinear(I1_LOW, "&amp;SUBSTITUTE(R4&amp;"",",",".")&amp;IF(R4=INT(R4),".0","")&amp;"F"&amp;", "&amp;SUBSTITUTE(R5&amp;"",",",".")&amp;IF(R5=INT(R5),".0","")&amp;"F"&amp;");","// I1_LOW: no data yet")</f>
        <v>// I1_LOW: no data yet</v>
      </c>
    </row>
    <row r="37" spans="2:2" x14ac:dyDescent="0.3">
      <c r="B37" s="19" t="str">
        <f>IFERROR("shield.sensors.setConversionParametersLinear(V2_LOW, "&amp;SUBSTITUTE(T2&amp;"",",",".")&amp;IF(T2=INT(T2),".0","")&amp;"F"&amp;", "&amp;SUBSTITUTE(T3&amp;"",",",".")&amp;IF(T3=INT(T3),".0","")&amp;"F"&amp;");","// V2_LOW: no data yet")</f>
        <v>// V2_LOW: no data yet</v>
      </c>
    </row>
    <row r="38" spans="2:2" x14ac:dyDescent="0.3">
      <c r="B38" s="19" t="str">
        <f>IFERROR("shield.sensors.setConversionParametersLinear(I2_LOW, "&amp;SUBSTITUTE(T4&amp;"",",",".")&amp;IF(T4=INT(T4),".0","")&amp;"F"&amp;", "&amp;SUBSTITUTE(T5&amp;"",",",".")&amp;IF(T5=INT(T5),".0","")&amp;"F"&amp;");","// I2_LOW: no data yet")</f>
        <v>// I2_LOW: no data yet</v>
      </c>
    </row>
    <row r="40" spans="2:2" x14ac:dyDescent="0.3">
      <c r="B40" s="16" t="s">
        <v>83</v>
      </c>
    </row>
    <row r="41" spans="2:2" x14ac:dyDescent="0.3">
      <c r="B41" s="19" t="str">
        <f>IFERROR("shield.sensors.setConversionParametersLinear(V_HIGH, "&amp;SUBSTITUTE(I7&amp;"",",",".")&amp;IF(I7=INT(I7),".0","")&amp;"F"&amp;", "&amp;SUBSTITUTE(I8&amp;"",",",".")&amp;IF(I8=INT(I8),".0","")&amp;"F"&amp;");","// V_HIGH: no data yet")</f>
        <v>// V_HIGH: no data yet</v>
      </c>
    </row>
    <row r="42" spans="2:2" x14ac:dyDescent="0.3">
      <c r="B42" s="19" t="str">
        <f>IFERROR("shield.sensors.setConversionParametersLinear(I_HIGH, "&amp;SUBSTITUTE(I9&amp;"",",",".")&amp;IF(I9=INT(I9),".0","")&amp;"F"&amp;", "&amp;SUBSTITUTE(I10&amp;"",",",".")&amp;IF(I10=INT(I10),".0","")&amp;"F"&amp;");","// I_HIGH: no data yet")</f>
        <v>// I_HIGH: no data yet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C17A-375D-4EAB-9F4B-6C5E188D219F}">
  <dimension ref="B2:T42"/>
  <sheetViews>
    <sheetView zoomScale="85" zoomScaleNormal="85" workbookViewId="0">
      <selection activeCell="F1" sqref="F1"/>
    </sheetView>
  </sheetViews>
  <sheetFormatPr baseColWidth="10" defaultRowHeight="14.4" x14ac:dyDescent="0.3"/>
  <sheetData>
    <row r="2" spans="8:20" x14ac:dyDescent="0.3">
      <c r="H2" t="s">
        <v>71</v>
      </c>
      <c r="I2" t="e">
        <f>SLOPE(Tables!$B$29:$B$33,Tables!$C$29:$C$33)</f>
        <v>#DIV/0!</v>
      </c>
      <c r="J2" t="e">
        <f>REPLACE(I2,2,1,".")</f>
        <v>#DIV/0!</v>
      </c>
      <c r="Q2" t="s">
        <v>13</v>
      </c>
      <c r="R2" t="e">
        <f>SLOPE(Tables!$F$29:$F$33,Tables!$G$29:$G$33)</f>
        <v>#DIV/0!</v>
      </c>
      <c r="S2" t="s">
        <v>17</v>
      </c>
      <c r="T2" t="e">
        <f>SLOPE(Tables!$N$29:$N$33,Tables!$O$29:$O$33)</f>
        <v>#DIV/0!</v>
      </c>
    </row>
    <row r="3" spans="8:20" x14ac:dyDescent="0.3">
      <c r="H3" t="s">
        <v>72</v>
      </c>
      <c r="I3" t="e">
        <f>INTERCEPT(Tables!$B$29:$B$33,Tables!$C$29:$C$33)</f>
        <v>#DIV/0!</v>
      </c>
      <c r="J3" t="e">
        <f>REPLACE(I3,2,1,".")</f>
        <v>#DIV/0!</v>
      </c>
      <c r="Q3" t="s">
        <v>14</v>
      </c>
      <c r="R3" t="e">
        <f>INTERCEPT(Tables!$F$29:$F$33,Tables!$G$29:$G$33)</f>
        <v>#DIV/0!</v>
      </c>
      <c r="S3" t="s">
        <v>18</v>
      </c>
      <c r="T3" t="e">
        <f>INTERCEPT(Tables!$N$29:$N$33,Tables!$O$29:$O$33)</f>
        <v>#DIV/0!</v>
      </c>
    </row>
    <row r="4" spans="8:20" x14ac:dyDescent="0.3">
      <c r="H4" t="s">
        <v>73</v>
      </c>
      <c r="I4" t="e">
        <f>SLOPE(Tables!$D$29:$D$33,Tables!$E$29:$E$33)</f>
        <v>#DIV/0!</v>
      </c>
      <c r="J4" t="e">
        <f>REPLACE(I4,2,1,".")</f>
        <v>#DIV/0!</v>
      </c>
      <c r="Q4" t="s">
        <v>15</v>
      </c>
      <c r="R4" t="e">
        <f>SLOPE(Tables!$H$29:$H$33,Tables!$I$29:$I$33)</f>
        <v>#DIV/0!</v>
      </c>
      <c r="S4" t="s">
        <v>19</v>
      </c>
      <c r="T4" t="e">
        <f>SLOPE(Tables!$P$29:$P$33,Tables!$Q$29:$Q$33)</f>
        <v>#DIV/0!</v>
      </c>
    </row>
    <row r="5" spans="8:20" x14ac:dyDescent="0.3">
      <c r="H5" t="s">
        <v>74</v>
      </c>
      <c r="I5" t="e">
        <f>INTERCEPT(Tables!$D$29:$D$33,Tables!$E$29:$E$33)</f>
        <v>#DIV/0!</v>
      </c>
      <c r="J5" t="e">
        <f>REPLACE(I5,3,1,".")</f>
        <v>#DIV/0!</v>
      </c>
      <c r="Q5" t="s">
        <v>16</v>
      </c>
      <c r="R5" t="e">
        <f>INTERCEPT(Tables!$H$29:$H$33,Tables!$I$29:$I$33)</f>
        <v>#DIV/0!</v>
      </c>
      <c r="S5" t="s">
        <v>20</v>
      </c>
      <c r="T5" t="e">
        <f>INTERCEPT(Tables!$P$29:$P$33,Tables!$Q$29:$Q$33)</f>
        <v>#DIV/0!</v>
      </c>
    </row>
    <row r="7" spans="8:20" x14ac:dyDescent="0.3">
      <c r="H7" t="s">
        <v>75</v>
      </c>
      <c r="I7" t="e">
        <f>SLOPE(Tables!$J$29:$J$33,Tables!$K$29:$K$33)</f>
        <v>#DIV/0!</v>
      </c>
      <c r="J7" t="e">
        <f>SUBSTITUTE(I7&amp;"",",",".")</f>
        <v>#DIV/0!</v>
      </c>
      <c r="R7" t="e">
        <f>REPLACE(R2,2,1,".")</f>
        <v>#DIV/0!</v>
      </c>
      <c r="T7" t="e">
        <f>REPLACE(T2,2,1,".")</f>
        <v>#DIV/0!</v>
      </c>
    </row>
    <row r="8" spans="8:20" x14ac:dyDescent="0.3">
      <c r="H8" t="s">
        <v>76</v>
      </c>
      <c r="I8" t="e">
        <f>INTERCEPT(Tables!$J$29:$J$33,Tables!$K$29:$K$33)</f>
        <v>#DIV/0!</v>
      </c>
      <c r="J8" t="e">
        <f>SUBSTITUTE(I8&amp;"",",",".")</f>
        <v>#DIV/0!</v>
      </c>
      <c r="R8" t="e">
        <f>REPLACE(R3,4,1,".")</f>
        <v>#DIV/0!</v>
      </c>
      <c r="T8" t="e">
        <f>REPLACE(T3,4,1,".")</f>
        <v>#DIV/0!</v>
      </c>
    </row>
    <row r="9" spans="8:20" x14ac:dyDescent="0.3">
      <c r="H9" t="s">
        <v>77</v>
      </c>
      <c r="I9" t="e">
        <f>SLOPE(Tables!$L$29:$L$33,Tables!$M$29:$M$33)</f>
        <v>#DIV/0!</v>
      </c>
      <c r="J9" t="e">
        <f>SUBSTITUTE(I9&amp;"",",",".")</f>
        <v>#DIV/0!</v>
      </c>
      <c r="R9" t="e">
        <f>REPLACE(R4,2,1,".")</f>
        <v>#DIV/0!</v>
      </c>
      <c r="T9" t="e">
        <f>REPLACE(T4,2,1,".")</f>
        <v>#DIV/0!</v>
      </c>
    </row>
    <row r="10" spans="8:20" x14ac:dyDescent="0.3">
      <c r="H10" t="s">
        <v>78</v>
      </c>
      <c r="I10" t="e">
        <f>INTERCEPT(Tables!$L$29:$L$33,Tables!$M$29:$M$33)</f>
        <v>#DIV/0!</v>
      </c>
      <c r="J10" t="e">
        <f>SUBSTITUTE(I10&amp;"",",",".")</f>
        <v>#DIV/0!</v>
      </c>
      <c r="R10" t="e">
        <f>REPLACE(R5,4,1,".")</f>
        <v>#DIV/0!</v>
      </c>
      <c r="T10" t="e">
        <f>REPLACE(T5,4,1,".")</f>
        <v>#DIV/0!</v>
      </c>
    </row>
    <row r="12" spans="8:20" x14ac:dyDescent="0.3">
      <c r="H12" s="16" t="s">
        <v>79</v>
      </c>
    </row>
    <row r="13" spans="8:20" x14ac:dyDescent="0.3">
      <c r="H13" t="s">
        <v>80</v>
      </c>
      <c r="I13" s="18" t="str">
        <f>IFERROR((I7-I2)/I2,"")</f>
        <v/>
      </c>
      <c r="R13" s="14"/>
    </row>
    <row r="14" spans="8:20" x14ac:dyDescent="0.3">
      <c r="H14" t="s">
        <v>11</v>
      </c>
      <c r="I14" t="str">
        <f>IFERROR(I8-I3,"")</f>
        <v/>
      </c>
      <c r="R14" s="15"/>
    </row>
    <row r="15" spans="8:20" x14ac:dyDescent="0.3">
      <c r="H15" t="s">
        <v>81</v>
      </c>
      <c r="I15" s="18" t="str">
        <f>IFERROR((I9-I4)/I4,"")</f>
        <v/>
      </c>
      <c r="R15" s="15"/>
    </row>
    <row r="16" spans="8:20" x14ac:dyDescent="0.3">
      <c r="H16" t="s">
        <v>12</v>
      </c>
      <c r="I16" t="str">
        <f>IFERROR(I10-I5,"")</f>
        <v/>
      </c>
      <c r="R16" s="15"/>
    </row>
    <row r="17" spans="2:18" x14ac:dyDescent="0.3">
      <c r="R17" s="15"/>
    </row>
    <row r="18" spans="2:18" x14ac:dyDescent="0.3">
      <c r="R18" s="15"/>
    </row>
    <row r="32" spans="2:18" x14ac:dyDescent="0.3">
      <c r="B32" s="16" t="s">
        <v>82</v>
      </c>
    </row>
    <row r="33" spans="2:2" x14ac:dyDescent="0.3">
      <c r="B33" s="19" t="str">
        <f>IFERROR("shield.sensors.setConversionParametersLinear(V_HIGH, "&amp;SUBSTITUTE(I2&amp;"",",",".")&amp;IF(I2=INT(I2),".0","")&amp;"F"&amp;", "&amp;SUBSTITUTE(I3&amp;"",",",".")&amp;IF(I3=INT(I3),".0","")&amp;"F"&amp;");","// V_HIGH: no data yet")</f>
        <v>// V_HIGH: no data yet</v>
      </c>
    </row>
    <row r="34" spans="2:2" x14ac:dyDescent="0.3">
      <c r="B34" s="19" t="str">
        <f>IFERROR("shield.sensors.setConversionParametersLinear(I_HIGH, "&amp;SUBSTITUTE(I4&amp;"",",",".")&amp;IF(I4=INT(I4),".0","")&amp;"F"&amp;", "&amp;SUBSTITUTE(I5&amp;"",",",".")&amp;IF(I5=INT(I5),".0","")&amp;"F"&amp;");","// I_HIGH: no data yet")</f>
        <v>// I_HIGH: no data yet</v>
      </c>
    </row>
    <row r="35" spans="2:2" x14ac:dyDescent="0.3">
      <c r="B35" s="19" t="str">
        <f>IFERROR("shield.sensors.setConversionParametersLinear(V1_LOW, "&amp;SUBSTITUTE(R2&amp;"",",",".")&amp;IF(R2=INT(R2),".0","")&amp;"F"&amp;", "&amp;SUBSTITUTE(R3&amp;"",",",".")&amp;IF(R3=INT(R3),".0","")&amp;"F"&amp;");","// V1_LOW: no data yet")</f>
        <v>// V1_LOW: no data yet</v>
      </c>
    </row>
    <row r="36" spans="2:2" x14ac:dyDescent="0.3">
      <c r="B36" s="19" t="str">
        <f>IFERROR("shield.sensors.setConversionParametersLinear(I1_LOW, "&amp;SUBSTITUTE(R4&amp;"",",",".")&amp;IF(R4=INT(R4),".0","")&amp;"F"&amp;", "&amp;SUBSTITUTE(R5&amp;"",",",".")&amp;IF(R5=INT(R5),".0","")&amp;"F"&amp;");","// I1_LOW: no data yet")</f>
        <v>// I1_LOW: no data yet</v>
      </c>
    </row>
    <row r="37" spans="2:2" x14ac:dyDescent="0.3">
      <c r="B37" s="19" t="str">
        <f>IFERROR("shield.sensors.setConversionParametersLinear(V2_LOW, "&amp;SUBSTITUTE(T2&amp;"",",",".")&amp;IF(T2=INT(T2),".0","")&amp;"F"&amp;", "&amp;SUBSTITUTE(T3&amp;"",",",".")&amp;IF(T3=INT(T3),".0","")&amp;"F"&amp;");","// V2_LOW: no data yet")</f>
        <v>// V2_LOW: no data yet</v>
      </c>
    </row>
    <row r="38" spans="2:2" x14ac:dyDescent="0.3">
      <c r="B38" s="19" t="str">
        <f>IFERROR("shield.sensors.setConversionParametersLinear(I2_LOW, "&amp;SUBSTITUTE(T4&amp;"",",",".")&amp;IF(T4=INT(T4),".0","")&amp;"F"&amp;", "&amp;SUBSTITUTE(T5&amp;"",",",".")&amp;IF(T5=INT(T5),".0","")&amp;"F"&amp;");","// I2_LOW: no data yet")</f>
        <v>// I2_LOW: no data yet</v>
      </c>
    </row>
    <row r="40" spans="2:2" x14ac:dyDescent="0.3">
      <c r="B40" s="16" t="s">
        <v>83</v>
      </c>
    </row>
    <row r="41" spans="2:2" x14ac:dyDescent="0.3">
      <c r="B41" s="19" t="str">
        <f>IFERROR("shield.sensors.setConversionParametersLinear(V_HIGH, "&amp;SUBSTITUTE(I7&amp;"",",",".")&amp;IF(I7=INT(I7),".0","")&amp;"F"&amp;", "&amp;SUBSTITUTE(I8&amp;"",",",".")&amp;IF(I8=INT(I8),".0","")&amp;"F"&amp;");","// V_HIGH: no data yet")</f>
        <v>// V_HIGH: no data yet</v>
      </c>
    </row>
    <row r="42" spans="2:2" x14ac:dyDescent="0.3">
      <c r="B42" s="19" t="str">
        <f>IFERROR("shield.sensors.setConversionParametersLinear(I_HIGH, "&amp;SUBSTITUTE(I9&amp;"",",",".")&amp;IF(I9=INT(I9),".0","")&amp;"F"&amp;", "&amp;SUBSTITUTE(I10&amp;"",",",".")&amp;IF(I10=INT(I10),".0","")&amp;"F"&amp;");","// I_HIGH: no data yet")</f>
        <v>// I_HIGH: no data yet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2174C-EC77-4F9A-9A4D-92919836F2CD}">
  <dimension ref="B2:T42"/>
  <sheetViews>
    <sheetView zoomScale="85" zoomScaleNormal="85" workbookViewId="0">
      <selection activeCell="F1" sqref="F1"/>
    </sheetView>
  </sheetViews>
  <sheetFormatPr baseColWidth="10" defaultRowHeight="14.4" x14ac:dyDescent="0.3"/>
  <sheetData>
    <row r="2" spans="8:20" x14ac:dyDescent="0.3">
      <c r="H2" t="s">
        <v>71</v>
      </c>
      <c r="I2" t="e">
        <f>SLOPE(Tables!$B$37:$B$41,Tables!$C$37:$C$41)</f>
        <v>#DIV/0!</v>
      </c>
      <c r="J2" t="e">
        <f>REPLACE(I2,2,1,".")</f>
        <v>#DIV/0!</v>
      </c>
      <c r="Q2" t="s">
        <v>13</v>
      </c>
      <c r="R2" t="e">
        <f>SLOPE(Tables!$F$37:$F$41,Tables!$G$37:$G$41)</f>
        <v>#DIV/0!</v>
      </c>
      <c r="S2" t="s">
        <v>17</v>
      </c>
      <c r="T2" t="e">
        <f>SLOPE(Tables!$N$37:$N$41,Tables!$O$37:$O$41)</f>
        <v>#DIV/0!</v>
      </c>
    </row>
    <row r="3" spans="8:20" x14ac:dyDescent="0.3">
      <c r="H3" t="s">
        <v>72</v>
      </c>
      <c r="I3" t="e">
        <f>INTERCEPT(Tables!$B$37:$B$41,Tables!$C$37:$C$41)</f>
        <v>#DIV/0!</v>
      </c>
      <c r="J3" t="e">
        <f>REPLACE(I3,2,1,".")</f>
        <v>#DIV/0!</v>
      </c>
      <c r="Q3" t="s">
        <v>14</v>
      </c>
      <c r="R3" t="e">
        <f>INTERCEPT(Tables!$F$37:$F$41,Tables!$G$37:$G$41)</f>
        <v>#DIV/0!</v>
      </c>
      <c r="S3" t="s">
        <v>18</v>
      </c>
      <c r="T3" t="e">
        <f>INTERCEPT(Tables!$N$37:$N$41,Tables!$O$37:$O$41)</f>
        <v>#DIV/0!</v>
      </c>
    </row>
    <row r="4" spans="8:20" x14ac:dyDescent="0.3">
      <c r="H4" t="s">
        <v>73</v>
      </c>
      <c r="I4" t="e">
        <f>SLOPE(Tables!$D$37:$D$41,Tables!$E$37:$E$41)</f>
        <v>#DIV/0!</v>
      </c>
      <c r="J4" t="e">
        <f>REPLACE(I4,2,1,".")</f>
        <v>#DIV/0!</v>
      </c>
      <c r="Q4" t="s">
        <v>15</v>
      </c>
      <c r="R4" t="e">
        <f>SLOPE(Tables!$H$37:$H$41,Tables!$I$37:$I$41)</f>
        <v>#DIV/0!</v>
      </c>
      <c r="S4" t="s">
        <v>19</v>
      </c>
      <c r="T4" t="e">
        <f>SLOPE(Tables!$P$37:$P$41,Tables!$Q$37:$Q$41)</f>
        <v>#DIV/0!</v>
      </c>
    </row>
    <row r="5" spans="8:20" x14ac:dyDescent="0.3">
      <c r="H5" t="s">
        <v>74</v>
      </c>
      <c r="I5" t="e">
        <f>INTERCEPT(Tables!$D$37:$D$41,Tables!$E$37:$E$41)</f>
        <v>#DIV/0!</v>
      </c>
      <c r="J5" t="e">
        <f>REPLACE(I5,3,1,".")</f>
        <v>#DIV/0!</v>
      </c>
      <c r="Q5" t="s">
        <v>16</v>
      </c>
      <c r="R5" t="e">
        <f>INTERCEPT(Tables!$H$37:$H$41,Tables!$I$37:$I$41)</f>
        <v>#DIV/0!</v>
      </c>
      <c r="S5" t="s">
        <v>20</v>
      </c>
      <c r="T5" t="e">
        <f>INTERCEPT(Tables!$P$37:$P$41,Tables!$Q$37:$Q$41)</f>
        <v>#DIV/0!</v>
      </c>
    </row>
    <row r="7" spans="8:20" x14ac:dyDescent="0.3">
      <c r="H7" t="s">
        <v>75</v>
      </c>
      <c r="I7" t="e">
        <f>SLOPE(Tables!$J$37:$J$41,Tables!$K$37:$K$41)</f>
        <v>#DIV/0!</v>
      </c>
      <c r="J7" t="e">
        <f>SUBSTITUTE(I7&amp;"",",",".")</f>
        <v>#DIV/0!</v>
      </c>
      <c r="R7" t="e">
        <f>REPLACE(R2,2,1,".")</f>
        <v>#DIV/0!</v>
      </c>
      <c r="T7" t="e">
        <f>REPLACE(T2,2,1,".")</f>
        <v>#DIV/0!</v>
      </c>
    </row>
    <row r="8" spans="8:20" x14ac:dyDescent="0.3">
      <c r="H8" t="s">
        <v>76</v>
      </c>
      <c r="I8" t="e">
        <f>INTERCEPT(Tables!$J$37:$J$41,Tables!$K$37:$K$41)</f>
        <v>#DIV/0!</v>
      </c>
      <c r="J8" t="e">
        <f>SUBSTITUTE(I8&amp;"",",",".")</f>
        <v>#DIV/0!</v>
      </c>
      <c r="R8" t="e">
        <f>REPLACE(R3,4,1,".")</f>
        <v>#DIV/0!</v>
      </c>
      <c r="T8" t="e">
        <f>REPLACE(T3,4,1,".")</f>
        <v>#DIV/0!</v>
      </c>
    </row>
    <row r="9" spans="8:20" x14ac:dyDescent="0.3">
      <c r="H9" t="s">
        <v>77</v>
      </c>
      <c r="I9" t="e">
        <f>SLOPE(Tables!$L$37:$L$41,Tables!$M$37:$M$41)</f>
        <v>#DIV/0!</v>
      </c>
      <c r="J9" t="e">
        <f>SUBSTITUTE(I9&amp;"",",",".")</f>
        <v>#DIV/0!</v>
      </c>
      <c r="R9" t="e">
        <f>REPLACE(R4,2,1,".")</f>
        <v>#DIV/0!</v>
      </c>
      <c r="T9" t="e">
        <f>REPLACE(T4,2,1,".")</f>
        <v>#DIV/0!</v>
      </c>
    </row>
    <row r="10" spans="8:20" x14ac:dyDescent="0.3">
      <c r="H10" t="s">
        <v>78</v>
      </c>
      <c r="I10" t="e">
        <f>INTERCEPT(Tables!$L$37:$L$41,Tables!$M$37:$M$41)</f>
        <v>#DIV/0!</v>
      </c>
      <c r="J10" t="e">
        <f>SUBSTITUTE(I10&amp;"",",",".")</f>
        <v>#DIV/0!</v>
      </c>
      <c r="R10" t="e">
        <f>REPLACE(R5,3,1,".")</f>
        <v>#DIV/0!</v>
      </c>
      <c r="T10" t="e">
        <f>REPLACE(T5,3,1,".")</f>
        <v>#DIV/0!</v>
      </c>
    </row>
    <row r="12" spans="8:20" x14ac:dyDescent="0.3">
      <c r="H12" s="16" t="s">
        <v>79</v>
      </c>
    </row>
    <row r="13" spans="8:20" x14ac:dyDescent="0.3">
      <c r="H13" t="s">
        <v>80</v>
      </c>
      <c r="I13" s="18" t="str">
        <f>IFERROR((I7-I2)/I2,"")</f>
        <v/>
      </c>
    </row>
    <row r="14" spans="8:20" x14ac:dyDescent="0.3">
      <c r="H14" t="s">
        <v>11</v>
      </c>
      <c r="I14" t="str">
        <f>IFERROR(I8-I3,"")</f>
        <v/>
      </c>
    </row>
    <row r="15" spans="8:20" x14ac:dyDescent="0.3">
      <c r="H15" t="s">
        <v>81</v>
      </c>
      <c r="I15" s="18" t="str">
        <f>IFERROR((I9-I4)/I4,"")</f>
        <v/>
      </c>
    </row>
    <row r="16" spans="8:20" x14ac:dyDescent="0.3">
      <c r="H16" t="s">
        <v>12</v>
      </c>
      <c r="I16" t="str">
        <f>IFERROR(I10-I5,"")</f>
        <v/>
      </c>
    </row>
    <row r="32" spans="2:2" x14ac:dyDescent="0.3">
      <c r="B32" s="16" t="s">
        <v>82</v>
      </c>
    </row>
    <row r="33" spans="2:2" x14ac:dyDescent="0.3">
      <c r="B33" s="19" t="str">
        <f>IFERROR("shield.sensors.setConversionParametersLinear(V_HIGH, "&amp;SUBSTITUTE(I2&amp;"",",",".")&amp;IF(I2=INT(I2),".0","")&amp;"F"&amp;", "&amp;SUBSTITUTE(I3&amp;"",",",".")&amp;IF(I3=INT(I3),".0","")&amp;"F"&amp;");","// V_HIGH: no data yet")</f>
        <v>// V_HIGH: no data yet</v>
      </c>
    </row>
    <row r="34" spans="2:2" x14ac:dyDescent="0.3">
      <c r="B34" s="19" t="str">
        <f>IFERROR("shield.sensors.setConversionParametersLinear(I_HIGH, "&amp;SUBSTITUTE(I4&amp;"",",",".")&amp;IF(I4=INT(I4),".0","")&amp;"F"&amp;", "&amp;SUBSTITUTE(I5&amp;"",",",".")&amp;IF(I5=INT(I5),".0","")&amp;"F"&amp;");","// I_HIGH: no data yet")</f>
        <v>// I_HIGH: no data yet</v>
      </c>
    </row>
    <row r="35" spans="2:2" x14ac:dyDescent="0.3">
      <c r="B35" s="19" t="str">
        <f>IFERROR("shield.sensors.setConversionParametersLinear(V1_LOW, "&amp;SUBSTITUTE(R2&amp;"",",",".")&amp;IF(R2=INT(R2),".0","")&amp;"F"&amp;", "&amp;SUBSTITUTE(R3&amp;"",",",".")&amp;IF(R3=INT(R3),".0","")&amp;"F"&amp;");","// V1_LOW: no data yet")</f>
        <v>// V1_LOW: no data yet</v>
      </c>
    </row>
    <row r="36" spans="2:2" x14ac:dyDescent="0.3">
      <c r="B36" s="19" t="str">
        <f>IFERROR("shield.sensors.setConversionParametersLinear(I1_LOW, "&amp;SUBSTITUTE(R4&amp;"",",",".")&amp;IF(R4=INT(R4),".0","")&amp;"F"&amp;", "&amp;SUBSTITUTE(R5&amp;"",",",".")&amp;IF(R5=INT(R5),".0","")&amp;"F"&amp;");","// I1_LOW: no data yet")</f>
        <v>// I1_LOW: no data yet</v>
      </c>
    </row>
    <row r="37" spans="2:2" x14ac:dyDescent="0.3">
      <c r="B37" s="19" t="str">
        <f>IFERROR("shield.sensors.setConversionParametersLinear(V2_LOW, "&amp;SUBSTITUTE(T2&amp;"",",",".")&amp;IF(T2=INT(T2),".0","")&amp;"F"&amp;", "&amp;SUBSTITUTE(T3&amp;"",",",".")&amp;IF(T3=INT(T3),".0","")&amp;"F"&amp;");","// V2_LOW: no data yet")</f>
        <v>// V2_LOW: no data yet</v>
      </c>
    </row>
    <row r="38" spans="2:2" x14ac:dyDescent="0.3">
      <c r="B38" s="19" t="str">
        <f>IFERROR("shield.sensors.setConversionParametersLinear(I2_LOW, "&amp;SUBSTITUTE(T4&amp;"",",",".")&amp;IF(T4=INT(T4),".0","")&amp;"F"&amp;", "&amp;SUBSTITUTE(T5&amp;"",",",".")&amp;IF(T5=INT(T5),".0","")&amp;"F"&amp;");","// I2_LOW: no data yet")</f>
        <v>// I2_LOW: no data yet</v>
      </c>
    </row>
    <row r="40" spans="2:2" x14ac:dyDescent="0.3">
      <c r="B40" s="16" t="s">
        <v>83</v>
      </c>
    </row>
    <row r="41" spans="2:2" x14ac:dyDescent="0.3">
      <c r="B41" s="19" t="str">
        <f>IFERROR("shield.sensors.setConversionParametersLinear(V_HIGH, "&amp;SUBSTITUTE(I7&amp;"",",",".")&amp;IF(I7=INT(I7),".0","")&amp;"F"&amp;", "&amp;SUBSTITUTE(I8&amp;"",",",".")&amp;IF(I8=INT(I8),".0","")&amp;"F"&amp;");","// V_HIGH: no data yet")</f>
        <v>// V_HIGH: no data yet</v>
      </c>
    </row>
    <row r="42" spans="2:2" x14ac:dyDescent="0.3">
      <c r="B42" s="19" t="str">
        <f>IFERROR("shield.sensors.setConversionParametersLinear(I_HIGH, "&amp;SUBSTITUTE(I9&amp;"",",",".")&amp;IF(I9=INT(I9),".0","")&amp;"F"&amp;", "&amp;SUBSTITUTE(I10&amp;"",",",".")&amp;IF(I10=INT(I10),".0","")&amp;"F"&amp;");","// I_HIGH: no data yet")</f>
        <v>// I_HIGH: no data yet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C664-895A-4EC6-B683-716322301964}">
  <dimension ref="B2:T42"/>
  <sheetViews>
    <sheetView zoomScale="85" zoomScaleNormal="85" workbookViewId="0">
      <selection activeCell="Q15" sqref="Q15"/>
    </sheetView>
  </sheetViews>
  <sheetFormatPr baseColWidth="10" defaultRowHeight="14.4" x14ac:dyDescent="0.3"/>
  <sheetData>
    <row r="2" spans="8:20" x14ac:dyDescent="0.3">
      <c r="H2" t="s">
        <v>71</v>
      </c>
      <c r="I2" t="e">
        <f>SLOPE(Tables!$B$45:$B$49,Tables!$C$45:$C$49)</f>
        <v>#DIV/0!</v>
      </c>
      <c r="J2" t="e">
        <f>REPLACE(I2,2,1,".")</f>
        <v>#DIV/0!</v>
      </c>
      <c r="Q2" t="s">
        <v>13</v>
      </c>
      <c r="R2" t="e">
        <f>SLOPE(Tables!$F$45:$F$49,Tables!$G$45:$G$49)</f>
        <v>#DIV/0!</v>
      </c>
      <c r="S2" t="s">
        <v>17</v>
      </c>
      <c r="T2" t="e">
        <f>SLOPE(Tables!$N$45:$N$49,Tables!$O$45:$O$49)</f>
        <v>#DIV/0!</v>
      </c>
    </row>
    <row r="3" spans="8:20" x14ac:dyDescent="0.3">
      <c r="H3" t="s">
        <v>72</v>
      </c>
      <c r="I3" t="e">
        <f>INTERCEPT(Tables!$B$45:$B$49,Tables!$C$45:$C$49)</f>
        <v>#DIV/0!</v>
      </c>
      <c r="J3" t="e">
        <f>REPLACE(I3,2,1,".")</f>
        <v>#DIV/0!</v>
      </c>
      <c r="Q3" t="s">
        <v>14</v>
      </c>
      <c r="R3" t="e">
        <f>INTERCEPT(Tables!$F$45:$F$49,Tables!$G$45:$G$49)</f>
        <v>#DIV/0!</v>
      </c>
      <c r="S3" t="s">
        <v>18</v>
      </c>
      <c r="T3" t="e">
        <f>INTERCEPT(Tables!$N$45:$N$49,Tables!$O$45:$O$49)</f>
        <v>#DIV/0!</v>
      </c>
    </row>
    <row r="4" spans="8:20" x14ac:dyDescent="0.3">
      <c r="H4" t="s">
        <v>73</v>
      </c>
      <c r="I4" t="e">
        <f>SLOPE(Tables!$D$45:$D$49,Tables!$E$45:$E$49)</f>
        <v>#DIV/0!</v>
      </c>
      <c r="J4" t="e">
        <f>REPLACE(I4,2,1,".")</f>
        <v>#DIV/0!</v>
      </c>
      <c r="Q4" t="s">
        <v>15</v>
      </c>
      <c r="R4" t="e">
        <f>SLOPE(Tables!$H$45:$H$49,Tables!$I$45:$I$49)</f>
        <v>#DIV/0!</v>
      </c>
      <c r="S4" t="s">
        <v>19</v>
      </c>
      <c r="T4" t="e">
        <f>SLOPE(Tables!$P$45:$P$49,Tables!$Q$45:$Q$49)</f>
        <v>#DIV/0!</v>
      </c>
    </row>
    <row r="5" spans="8:20" x14ac:dyDescent="0.3">
      <c r="H5" t="s">
        <v>74</v>
      </c>
      <c r="I5" t="e">
        <f>INTERCEPT(Tables!$D$45:$D$49,Tables!$E$45:$E$49)</f>
        <v>#DIV/0!</v>
      </c>
      <c r="J5" t="e">
        <f>REPLACE(I5,4,1,".")</f>
        <v>#DIV/0!</v>
      </c>
      <c r="Q5" t="s">
        <v>16</v>
      </c>
      <c r="R5" t="e">
        <f>INTERCEPT(Tables!$H$45:$H$49,Tables!$I$45:$I$49)</f>
        <v>#DIV/0!</v>
      </c>
      <c r="S5" t="s">
        <v>20</v>
      </c>
      <c r="T5" t="e">
        <f>INTERCEPT(Tables!$P$45:$P$49,Tables!$Q$45:$Q$49)</f>
        <v>#DIV/0!</v>
      </c>
    </row>
    <row r="7" spans="8:20" x14ac:dyDescent="0.3">
      <c r="H7" t="s">
        <v>75</v>
      </c>
      <c r="I7" t="e">
        <f>SLOPE(Tables!$J$45:$J$49,Tables!$K$45:$K$49)</f>
        <v>#DIV/0!</v>
      </c>
      <c r="J7" t="e">
        <f>SUBSTITUTE(I7&amp;"",",",".")</f>
        <v>#DIV/0!</v>
      </c>
      <c r="R7" t="e">
        <f>REPLACE(R2,2,1,".")</f>
        <v>#DIV/0!</v>
      </c>
      <c r="T7" t="e">
        <f>REPLACE(T2,2,1,".")</f>
        <v>#DIV/0!</v>
      </c>
    </row>
    <row r="8" spans="8:20" x14ac:dyDescent="0.3">
      <c r="H8" t="s">
        <v>76</v>
      </c>
      <c r="I8" t="e">
        <f>INTERCEPT(Tables!$J$45:$J$49,Tables!$K$45:$K$49)</f>
        <v>#DIV/0!</v>
      </c>
      <c r="J8" t="e">
        <f>SUBSTITUTE(I8&amp;"",",",".")</f>
        <v>#DIV/0!</v>
      </c>
      <c r="R8" t="e">
        <f>REPLACE(R3,4,1,".")</f>
        <v>#DIV/0!</v>
      </c>
      <c r="T8" t="e">
        <f>REPLACE(T3,4,1,".")</f>
        <v>#DIV/0!</v>
      </c>
    </row>
    <row r="9" spans="8:20" x14ac:dyDescent="0.3">
      <c r="H9" t="s">
        <v>77</v>
      </c>
      <c r="I9" t="e">
        <f>SLOPE(Tables!$L$45:$L$49,Tables!$M$45:$M$49)</f>
        <v>#DIV/0!</v>
      </c>
      <c r="J9" t="e">
        <f>SUBSTITUTE(I9&amp;"",",",".")</f>
        <v>#DIV/0!</v>
      </c>
      <c r="R9" t="e">
        <f>REPLACE(R4,2,1,".")</f>
        <v>#DIV/0!</v>
      </c>
      <c r="T9" t="e">
        <f>REPLACE(T4,2,1,".")</f>
        <v>#DIV/0!</v>
      </c>
    </row>
    <row r="10" spans="8:20" x14ac:dyDescent="0.3">
      <c r="H10" t="s">
        <v>78</v>
      </c>
      <c r="I10" t="e">
        <f>INTERCEPT(Tables!$L$45:$L$49,Tables!$M$45:$M$49)</f>
        <v>#DIV/0!</v>
      </c>
      <c r="J10" t="e">
        <f>SUBSTITUTE(I10&amp;"",",",".")</f>
        <v>#DIV/0!</v>
      </c>
      <c r="R10" t="e">
        <f>REPLACE(R5,4,1,".")</f>
        <v>#DIV/0!</v>
      </c>
      <c r="T10" t="e">
        <f>REPLACE(T5,4,1,".")</f>
        <v>#DIV/0!</v>
      </c>
    </row>
    <row r="12" spans="8:20" x14ac:dyDescent="0.3">
      <c r="H12" s="16" t="s">
        <v>79</v>
      </c>
    </row>
    <row r="13" spans="8:20" x14ac:dyDescent="0.3">
      <c r="H13" t="s">
        <v>80</v>
      </c>
      <c r="I13" s="18" t="str">
        <f>IFERROR((I7-I2)/I2,"")</f>
        <v/>
      </c>
      <c r="R13" s="14"/>
    </row>
    <row r="14" spans="8:20" x14ac:dyDescent="0.3">
      <c r="H14" t="s">
        <v>11</v>
      </c>
      <c r="I14" t="str">
        <f>IFERROR(I8-I3,"")</f>
        <v/>
      </c>
      <c r="R14" s="15"/>
    </row>
    <row r="15" spans="8:20" x14ac:dyDescent="0.3">
      <c r="H15" t="s">
        <v>81</v>
      </c>
      <c r="I15" s="18" t="str">
        <f>IFERROR((I9-I4)/I4,"")</f>
        <v/>
      </c>
      <c r="R15" s="15"/>
    </row>
    <row r="16" spans="8:20" x14ac:dyDescent="0.3">
      <c r="H16" t="s">
        <v>12</v>
      </c>
      <c r="I16" t="str">
        <f>IFERROR(I10-I5,"")</f>
        <v/>
      </c>
      <c r="R16" s="15"/>
    </row>
    <row r="17" spans="2:18" x14ac:dyDescent="0.3">
      <c r="R17" s="15"/>
    </row>
    <row r="18" spans="2:18" x14ac:dyDescent="0.3">
      <c r="R18" s="15"/>
    </row>
    <row r="32" spans="2:18" x14ac:dyDescent="0.3">
      <c r="B32" s="16" t="s">
        <v>82</v>
      </c>
    </row>
    <row r="33" spans="2:2" x14ac:dyDescent="0.3">
      <c r="B33" s="19" t="str">
        <f>IFERROR("shield.sensors.setConversionParametersLinear(V_HIGH, "&amp;SUBSTITUTE(I2&amp;"",",",".")&amp;IF(I2=INT(I2),".0","")&amp;"F"&amp;", "&amp;SUBSTITUTE(I3&amp;"",",",".")&amp;IF(I3=INT(I3),".0","")&amp;"F"&amp;");","// V_HIGH: no data yet")</f>
        <v>// V_HIGH: no data yet</v>
      </c>
    </row>
    <row r="34" spans="2:2" x14ac:dyDescent="0.3">
      <c r="B34" s="19" t="str">
        <f>IFERROR("shield.sensors.setConversionParametersLinear(I_HIGH, "&amp;SUBSTITUTE(I4&amp;"",",",".")&amp;IF(I4=INT(I4),".0","")&amp;"F"&amp;", "&amp;SUBSTITUTE(I5&amp;"",",",".")&amp;IF(I5=INT(I5),".0","")&amp;"F"&amp;");","// I_HIGH: no data yet")</f>
        <v>// I_HIGH: no data yet</v>
      </c>
    </row>
    <row r="35" spans="2:2" x14ac:dyDescent="0.3">
      <c r="B35" s="19" t="str">
        <f>IFERROR("shield.sensors.setConversionParametersLinear(V1_LOW, "&amp;SUBSTITUTE(R2&amp;"",",",".")&amp;IF(R2=INT(R2),".0","")&amp;"F"&amp;", "&amp;SUBSTITUTE(R3&amp;"",",",".")&amp;IF(R3=INT(R3),".0","")&amp;"F"&amp;");","// V1_LOW: no data yet")</f>
        <v>// V1_LOW: no data yet</v>
      </c>
    </row>
    <row r="36" spans="2:2" x14ac:dyDescent="0.3">
      <c r="B36" s="19" t="str">
        <f>IFERROR("shield.sensors.setConversionParametersLinear(I1_LOW, "&amp;SUBSTITUTE(R4&amp;"",",",".")&amp;IF(R4=INT(R4),".0","")&amp;"F"&amp;", "&amp;SUBSTITUTE(R5&amp;"",",",".")&amp;IF(R5=INT(R5),".0","")&amp;"F"&amp;");","// I1_LOW: no data yet")</f>
        <v>// I1_LOW: no data yet</v>
      </c>
    </row>
    <row r="37" spans="2:2" x14ac:dyDescent="0.3">
      <c r="B37" s="19" t="str">
        <f>IFERROR("shield.sensors.setConversionParametersLinear(V2_LOW, "&amp;SUBSTITUTE(T2&amp;"",",",".")&amp;IF(T2=INT(T2),".0","")&amp;"F"&amp;", "&amp;SUBSTITUTE(T3&amp;"",",",".")&amp;IF(T3=INT(T3),".0","")&amp;"F"&amp;");","// V2_LOW: no data yet")</f>
        <v>// V2_LOW: no data yet</v>
      </c>
    </row>
    <row r="38" spans="2:2" x14ac:dyDescent="0.3">
      <c r="B38" s="19" t="str">
        <f>IFERROR("shield.sensors.setConversionParametersLinear(I2_LOW, "&amp;SUBSTITUTE(T4&amp;"",",",".")&amp;IF(T4=INT(T4),".0","")&amp;"F"&amp;", "&amp;SUBSTITUTE(T5&amp;"",",",".")&amp;IF(T5=INT(T5),".0","")&amp;"F"&amp;");","// I2_LOW: no data yet")</f>
        <v>// I2_LOW: no data yet</v>
      </c>
    </row>
    <row r="40" spans="2:2" x14ac:dyDescent="0.3">
      <c r="B40" s="16" t="s">
        <v>83</v>
      </c>
    </row>
    <row r="41" spans="2:2" x14ac:dyDescent="0.3">
      <c r="B41" s="19" t="str">
        <f>IFERROR("shield.sensors.setConversionParametersLinear(V_HIGH, "&amp;SUBSTITUTE(I7&amp;"",",",".")&amp;IF(I7=INT(I7),".0","")&amp;"F"&amp;", "&amp;SUBSTITUTE(I8&amp;"",",",".")&amp;IF(I8=INT(I8),".0","")&amp;"F"&amp;");","// V_HIGH: no data yet")</f>
        <v>// V_HIGH: no data yet</v>
      </c>
    </row>
    <row r="42" spans="2:2" x14ac:dyDescent="0.3">
      <c r="B42" s="19" t="str">
        <f>IFERROR("shield.sensors.setConversionParametersLinear(I_HIGH, "&amp;SUBSTITUTE(I9&amp;"",",",".")&amp;IF(I9=INT(I9),".0","")&amp;"F"&amp;", "&amp;SUBSTITUTE(I10&amp;"",",",".")&amp;IF(I10=INT(I10),".0","")&amp;"F"&amp;");","// I_HIGH: no data yet")</f>
        <v>// I_HIGH: no data yet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6341-47DF-415A-B1B7-40AD88D81A89}">
  <dimension ref="B2:T42"/>
  <sheetViews>
    <sheetView zoomScale="85" zoomScaleNormal="85" workbookViewId="0">
      <selection activeCell="F1" sqref="F1"/>
    </sheetView>
  </sheetViews>
  <sheetFormatPr baseColWidth="10" defaultRowHeight="14.4" x14ac:dyDescent="0.3"/>
  <sheetData>
    <row r="2" spans="8:20" x14ac:dyDescent="0.3">
      <c r="H2" t="s">
        <v>71</v>
      </c>
      <c r="I2" t="e">
        <f>SLOPE(Tables!$B$53:$B$57,Tables!$C$53:$C$57)</f>
        <v>#DIV/0!</v>
      </c>
      <c r="J2" t="e">
        <f>REPLACE(I2,2,1,".")</f>
        <v>#DIV/0!</v>
      </c>
      <c r="Q2" t="s">
        <v>13</v>
      </c>
      <c r="R2" t="e">
        <f>SLOPE(Tables!$F$53:$F$57,Tables!$G$53:$G$57)</f>
        <v>#DIV/0!</v>
      </c>
      <c r="S2" t="s">
        <v>17</v>
      </c>
      <c r="T2" t="e">
        <f>SLOPE(Tables!$N$53:$N$57,Tables!$O$53:$O$57)</f>
        <v>#DIV/0!</v>
      </c>
    </row>
    <row r="3" spans="8:20" x14ac:dyDescent="0.3">
      <c r="H3" t="s">
        <v>72</v>
      </c>
      <c r="I3" t="e">
        <f>INTERCEPT(Tables!$B$53:$B$57,Tables!$C$53:$C$57)</f>
        <v>#DIV/0!</v>
      </c>
      <c r="J3" t="e">
        <f>REPLACE(I3,2,1,".")</f>
        <v>#DIV/0!</v>
      </c>
      <c r="Q3" t="s">
        <v>14</v>
      </c>
      <c r="R3" t="e">
        <f>INTERCEPT(Tables!$F$53:$F$57,Tables!$G$53:$G$57)</f>
        <v>#DIV/0!</v>
      </c>
      <c r="S3" t="s">
        <v>18</v>
      </c>
      <c r="T3" t="e">
        <f>INTERCEPT(Tables!$N$53:$N$57,Tables!$O$53:$O$57)</f>
        <v>#DIV/0!</v>
      </c>
    </row>
    <row r="4" spans="8:20" x14ac:dyDescent="0.3">
      <c r="H4" t="s">
        <v>73</v>
      </c>
      <c r="I4" t="e">
        <f>SLOPE(Tables!$D$53:$D$57,Tables!$E$53:$E$57)</f>
        <v>#DIV/0!</v>
      </c>
      <c r="J4" t="e">
        <f>REPLACE(I4,2,1,".")</f>
        <v>#DIV/0!</v>
      </c>
      <c r="Q4" t="s">
        <v>15</v>
      </c>
      <c r="R4" t="e">
        <f>SLOPE(Tables!$H$53:$H$57,Tables!$I$53:$I$57)</f>
        <v>#DIV/0!</v>
      </c>
      <c r="S4" t="s">
        <v>19</v>
      </c>
      <c r="T4" t="e">
        <f>SLOPE(Tables!$P$53:$P$57,Tables!$Q$53:$Q$57)</f>
        <v>#DIV/0!</v>
      </c>
    </row>
    <row r="5" spans="8:20" x14ac:dyDescent="0.3">
      <c r="H5" t="s">
        <v>74</v>
      </c>
      <c r="I5" t="e">
        <f>INTERCEPT(Tables!$D$53:$D$57,Tables!$E$53:$E$57)</f>
        <v>#DIV/0!</v>
      </c>
      <c r="J5" t="e">
        <f>REPLACE(I5,3,1,".")</f>
        <v>#DIV/0!</v>
      </c>
      <c r="Q5" t="s">
        <v>16</v>
      </c>
      <c r="R5" t="e">
        <f>INTERCEPT(Tables!$H$53:$H$57,Tables!$I$53:$I$57)</f>
        <v>#DIV/0!</v>
      </c>
      <c r="S5" t="s">
        <v>20</v>
      </c>
      <c r="T5" t="e">
        <f>INTERCEPT(Tables!$P$53:$P$57,Tables!$Q$53:$Q$57)</f>
        <v>#DIV/0!</v>
      </c>
    </row>
    <row r="7" spans="8:20" x14ac:dyDescent="0.3">
      <c r="H7" t="s">
        <v>75</v>
      </c>
      <c r="I7" t="e">
        <f>SLOPE(Tables!$J$53:$J$57,Tables!$K$53:$K$57)</f>
        <v>#DIV/0!</v>
      </c>
      <c r="J7" t="e">
        <f>SUBSTITUTE(I7&amp;"",",",".")</f>
        <v>#DIV/0!</v>
      </c>
      <c r="R7" t="e">
        <f>REPLACE(R2,2,1,".")</f>
        <v>#DIV/0!</v>
      </c>
      <c r="T7" t="e">
        <f>REPLACE(T2,2,1,".")</f>
        <v>#DIV/0!</v>
      </c>
    </row>
    <row r="8" spans="8:20" x14ac:dyDescent="0.3">
      <c r="H8" t="s">
        <v>76</v>
      </c>
      <c r="I8" t="e">
        <f>INTERCEPT(Tables!$J$53:$J$57,Tables!$K$53:$K$57)</f>
        <v>#DIV/0!</v>
      </c>
      <c r="J8" t="e">
        <f>SUBSTITUTE(I8&amp;"",",",".")</f>
        <v>#DIV/0!</v>
      </c>
      <c r="R8" t="e">
        <f>REPLACE(R3,4,1,".")</f>
        <v>#DIV/0!</v>
      </c>
      <c r="T8" t="e">
        <f>REPLACE(T3,4,1,".")</f>
        <v>#DIV/0!</v>
      </c>
    </row>
    <row r="9" spans="8:20" x14ac:dyDescent="0.3">
      <c r="H9" t="s">
        <v>77</v>
      </c>
      <c r="I9" t="e">
        <f>SLOPE(Tables!$L$53:$L$57,Tables!$M$53:$M$57)</f>
        <v>#DIV/0!</v>
      </c>
      <c r="J9" t="e">
        <f>SUBSTITUTE(I9&amp;"",",",".")</f>
        <v>#DIV/0!</v>
      </c>
      <c r="R9" t="e">
        <f>REPLACE(R4,2,1,".")</f>
        <v>#DIV/0!</v>
      </c>
      <c r="T9" t="e">
        <f>REPLACE(T4,2,1,".")</f>
        <v>#DIV/0!</v>
      </c>
    </row>
    <row r="10" spans="8:20" x14ac:dyDescent="0.3">
      <c r="H10" t="s">
        <v>78</v>
      </c>
      <c r="I10" t="e">
        <f>INTERCEPT(Tables!$L$53:$L$57,Tables!$M$53:$M$57)</f>
        <v>#DIV/0!</v>
      </c>
      <c r="J10" t="e">
        <f>SUBSTITUTE(I10&amp;"",",",".")</f>
        <v>#DIV/0!</v>
      </c>
      <c r="R10" t="e">
        <f>REPLACE(R5,3,1,".")</f>
        <v>#DIV/0!</v>
      </c>
      <c r="T10" t="e">
        <f>REPLACE(T5,3,1,".")</f>
        <v>#DIV/0!</v>
      </c>
    </row>
    <row r="12" spans="8:20" x14ac:dyDescent="0.3">
      <c r="H12" s="16" t="s">
        <v>79</v>
      </c>
    </row>
    <row r="13" spans="8:20" x14ac:dyDescent="0.3">
      <c r="H13" t="s">
        <v>80</v>
      </c>
      <c r="I13" s="18" t="str">
        <f>IFERROR((I7-I2)/I2,"")</f>
        <v/>
      </c>
    </row>
    <row r="14" spans="8:20" x14ac:dyDescent="0.3">
      <c r="H14" t="s">
        <v>11</v>
      </c>
      <c r="I14" t="str">
        <f>IFERROR(I8-I3,"")</f>
        <v/>
      </c>
    </row>
    <row r="15" spans="8:20" x14ac:dyDescent="0.3">
      <c r="H15" t="s">
        <v>81</v>
      </c>
      <c r="I15" s="18" t="str">
        <f>IFERROR((I9-I4)/I4,"")</f>
        <v/>
      </c>
    </row>
    <row r="16" spans="8:20" x14ac:dyDescent="0.3">
      <c r="H16" t="s">
        <v>12</v>
      </c>
      <c r="I16" t="str">
        <f>IFERROR(I10-I5,"")</f>
        <v/>
      </c>
    </row>
    <row r="32" spans="2:2" x14ac:dyDescent="0.3">
      <c r="B32" s="16" t="s">
        <v>82</v>
      </c>
    </row>
    <row r="33" spans="2:2" x14ac:dyDescent="0.3">
      <c r="B33" s="19" t="str">
        <f>IFERROR("shield.sensors.setConversionParametersLinear(V_HIGH, "&amp;SUBSTITUTE(I2&amp;"",",",".")&amp;IF(I2=INT(I2),".0","")&amp;"F"&amp;", "&amp;SUBSTITUTE(I3&amp;"",",",".")&amp;IF(I3=INT(I3),".0","")&amp;"F"&amp;");","// V_HIGH: no data yet")</f>
        <v>// V_HIGH: no data yet</v>
      </c>
    </row>
    <row r="34" spans="2:2" x14ac:dyDescent="0.3">
      <c r="B34" s="19" t="str">
        <f>IFERROR("shield.sensors.setConversionParametersLinear(I_HIGH, "&amp;SUBSTITUTE(I4&amp;"",",",".")&amp;IF(I4=INT(I4),".0","")&amp;"F"&amp;", "&amp;SUBSTITUTE(I5&amp;"",",",".")&amp;IF(I5=INT(I5),".0","")&amp;"F"&amp;");","// I_HIGH: no data yet")</f>
        <v>// I_HIGH: no data yet</v>
      </c>
    </row>
    <row r="35" spans="2:2" x14ac:dyDescent="0.3">
      <c r="B35" s="19" t="str">
        <f>IFERROR("shield.sensors.setConversionParametersLinear(V1_LOW, "&amp;SUBSTITUTE(R2&amp;"",",",".")&amp;IF(R2=INT(R2),".0","")&amp;"F"&amp;", "&amp;SUBSTITUTE(R3&amp;"",",",".")&amp;IF(R3=INT(R3),".0","")&amp;"F"&amp;");","// V1_LOW: no data yet")</f>
        <v>// V1_LOW: no data yet</v>
      </c>
    </row>
    <row r="36" spans="2:2" x14ac:dyDescent="0.3">
      <c r="B36" s="19" t="str">
        <f>IFERROR("shield.sensors.setConversionParametersLinear(I1_LOW, "&amp;SUBSTITUTE(R4&amp;"",",",".")&amp;IF(R4=INT(R4),".0","")&amp;"F"&amp;", "&amp;SUBSTITUTE(R5&amp;"",",",".")&amp;IF(R5=INT(R5),".0","")&amp;"F"&amp;");","// I1_LOW: no data yet")</f>
        <v>// I1_LOW: no data yet</v>
      </c>
    </row>
    <row r="37" spans="2:2" x14ac:dyDescent="0.3">
      <c r="B37" s="19" t="str">
        <f>IFERROR("shield.sensors.setConversionParametersLinear(V2_LOW, "&amp;SUBSTITUTE(T2&amp;"",",",".")&amp;IF(T2=INT(T2),".0","")&amp;"F"&amp;", "&amp;SUBSTITUTE(T3&amp;"",",",".")&amp;IF(T3=INT(T3),".0","")&amp;"F"&amp;");","// V2_LOW: no data yet")</f>
        <v>// V2_LOW: no data yet</v>
      </c>
    </row>
    <row r="38" spans="2:2" x14ac:dyDescent="0.3">
      <c r="B38" s="19" t="str">
        <f>IFERROR("shield.sensors.setConversionParametersLinear(I2_LOW, "&amp;SUBSTITUTE(T4&amp;"",",",".")&amp;IF(T4=INT(T4),".0","")&amp;"F"&amp;", "&amp;SUBSTITUTE(T5&amp;"",",",".")&amp;IF(T5=INT(T5),".0","")&amp;"F"&amp;");","// I2_LOW: no data yet")</f>
        <v>// I2_LOW: no data yet</v>
      </c>
    </row>
    <row r="40" spans="2:2" x14ac:dyDescent="0.3">
      <c r="B40" s="16" t="s">
        <v>83</v>
      </c>
    </row>
    <row r="41" spans="2:2" x14ac:dyDescent="0.3">
      <c r="B41" s="19" t="str">
        <f>IFERROR("shield.sensors.setConversionParametersLinear(V_HIGH, "&amp;SUBSTITUTE(I7&amp;"",",",".")&amp;IF(I7=INT(I7),".0","")&amp;"F"&amp;", "&amp;SUBSTITUTE(I8&amp;"",",",".")&amp;IF(I8=INT(I8),".0","")&amp;"F"&amp;");","// V_HIGH: no data yet")</f>
        <v>// V_HIGH: no data yet</v>
      </c>
    </row>
    <row r="42" spans="2:2" x14ac:dyDescent="0.3">
      <c r="B42" s="19" t="str">
        <f>IFERROR("shield.sensors.setConversionParametersLinear(I_HIGH, "&amp;SUBSTITUTE(I9&amp;"",",",".")&amp;IF(I9=INT(I9),".0","")&amp;"F"&amp;", "&amp;SUBSTITUTE(I10&amp;"",",",".")&amp;IF(I10=INT(I10),".0","")&amp;"F"&amp;");","// I_HIGH: no data yet")</f>
        <v>// I_HIGH: no data yet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1BD9-9231-4582-AA01-824A8FD85869}">
  <dimension ref="B2:T42"/>
  <sheetViews>
    <sheetView zoomScale="85" zoomScaleNormal="85" workbookViewId="0">
      <selection activeCell="F1" sqref="F1"/>
    </sheetView>
  </sheetViews>
  <sheetFormatPr baseColWidth="10" defaultRowHeight="14.4" x14ac:dyDescent="0.3"/>
  <sheetData>
    <row r="2" spans="8:20" x14ac:dyDescent="0.3">
      <c r="H2" t="s">
        <v>71</v>
      </c>
      <c r="I2" t="e">
        <f>SLOPE(Tables!$B$61:$B$65,Tables!$C$61:$C$65)</f>
        <v>#DIV/0!</v>
      </c>
      <c r="J2" t="e">
        <f>REPLACE(I2,2,1,".")</f>
        <v>#DIV/0!</v>
      </c>
      <c r="Q2" t="s">
        <v>13</v>
      </c>
      <c r="R2" t="e">
        <f>SLOPE(Tables!$F$61:$F$65,Tables!$G$61:$G$65)</f>
        <v>#DIV/0!</v>
      </c>
      <c r="S2" t="s">
        <v>17</v>
      </c>
      <c r="T2" t="e">
        <f>SLOPE(Tables!$N$61:$N$65,Tables!$O$61:$O$65)</f>
        <v>#DIV/0!</v>
      </c>
    </row>
    <row r="3" spans="8:20" x14ac:dyDescent="0.3">
      <c r="H3" t="s">
        <v>72</v>
      </c>
      <c r="I3" t="e">
        <f>INTERCEPT(Tables!$B$61:$B$65,Tables!$C$61:$C$65)</f>
        <v>#DIV/0!</v>
      </c>
      <c r="J3" t="e">
        <f>REPLACE(I3,2,1,".")</f>
        <v>#DIV/0!</v>
      </c>
      <c r="Q3" t="s">
        <v>14</v>
      </c>
      <c r="R3" t="e">
        <f>INTERCEPT(Tables!$F$61:$F$65,Tables!$G$61:$G$65)</f>
        <v>#DIV/0!</v>
      </c>
      <c r="S3" t="s">
        <v>18</v>
      </c>
      <c r="T3" t="e">
        <f>INTERCEPT(Tables!$N$61:$N$65,Tables!$O$61:$O$65)</f>
        <v>#DIV/0!</v>
      </c>
    </row>
    <row r="4" spans="8:20" x14ac:dyDescent="0.3">
      <c r="H4" t="s">
        <v>73</v>
      </c>
      <c r="I4" t="e">
        <f>SLOPE(Tables!$D$61:$D$65,Tables!$E$61:$E$65)</f>
        <v>#DIV/0!</v>
      </c>
      <c r="J4" t="e">
        <f>REPLACE(I4,2,1,".")</f>
        <v>#DIV/0!</v>
      </c>
      <c r="Q4" t="s">
        <v>15</v>
      </c>
      <c r="R4" t="e">
        <f>SLOPE(Tables!$H$61:$H$65,Tables!$I$61:$I$65)</f>
        <v>#DIV/0!</v>
      </c>
      <c r="S4" t="s">
        <v>19</v>
      </c>
      <c r="T4" t="e">
        <f>SLOPE(Tables!$P$61:$P$65,Tables!$Q$61:$Q$65)</f>
        <v>#DIV/0!</v>
      </c>
    </row>
    <row r="5" spans="8:20" x14ac:dyDescent="0.3">
      <c r="H5" t="s">
        <v>74</v>
      </c>
      <c r="I5" t="e">
        <f>INTERCEPT(Tables!$D$61:$D$65,Tables!$E$61:$E$65)</f>
        <v>#DIV/0!</v>
      </c>
      <c r="J5" t="e">
        <f>REPLACE(I5,3,1,".")</f>
        <v>#DIV/0!</v>
      </c>
      <c r="Q5" t="s">
        <v>16</v>
      </c>
      <c r="R5" t="e">
        <f>INTERCEPT(Tables!$H$61:$H$65,Tables!$I$61:$I$65)</f>
        <v>#DIV/0!</v>
      </c>
      <c r="S5" t="s">
        <v>20</v>
      </c>
      <c r="T5" t="e">
        <f>INTERCEPT(Tables!$P$61:$P$65,Tables!$Q$61:$Q$65)</f>
        <v>#DIV/0!</v>
      </c>
    </row>
    <row r="7" spans="8:20" x14ac:dyDescent="0.3">
      <c r="H7" t="s">
        <v>75</v>
      </c>
      <c r="I7" t="e">
        <f>SLOPE(Tables!$J$61:$J$65,Tables!$K$61:$K$65)</f>
        <v>#DIV/0!</v>
      </c>
      <c r="J7" t="e">
        <f>SUBSTITUTE(I7&amp;"",",",".")</f>
        <v>#DIV/0!</v>
      </c>
      <c r="R7" t="e">
        <f>REPLACE(R2,2,1,".")</f>
        <v>#DIV/0!</v>
      </c>
      <c r="T7" t="e">
        <f>REPLACE(T2,2,1,".")</f>
        <v>#DIV/0!</v>
      </c>
    </row>
    <row r="8" spans="8:20" x14ac:dyDescent="0.3">
      <c r="H8" t="s">
        <v>76</v>
      </c>
      <c r="I8" t="e">
        <f>INTERCEPT(Tables!$J$61:$J$65,Tables!$K$61:$K$65)</f>
        <v>#DIV/0!</v>
      </c>
      <c r="J8" t="e">
        <f>SUBSTITUTE(I8&amp;"",",",".")</f>
        <v>#DIV/0!</v>
      </c>
      <c r="R8" t="e">
        <f>REPLACE(R3,4,1,".")</f>
        <v>#DIV/0!</v>
      </c>
      <c r="T8" t="e">
        <f>REPLACE(T3,4,1,".")</f>
        <v>#DIV/0!</v>
      </c>
    </row>
    <row r="9" spans="8:20" x14ac:dyDescent="0.3">
      <c r="H9" t="s">
        <v>77</v>
      </c>
      <c r="I9" t="e">
        <f>SLOPE(Tables!$L$61:$L$65,Tables!$M$61:$M$65)</f>
        <v>#DIV/0!</v>
      </c>
      <c r="J9" t="e">
        <f>SUBSTITUTE(I9&amp;"",",",".")</f>
        <v>#DIV/0!</v>
      </c>
      <c r="R9" t="e">
        <f>REPLACE(R4,2,1,".")</f>
        <v>#DIV/0!</v>
      </c>
      <c r="T9" t="e">
        <f>REPLACE(T4,2,1,".")</f>
        <v>#DIV/0!</v>
      </c>
    </row>
    <row r="10" spans="8:20" x14ac:dyDescent="0.3">
      <c r="H10" t="s">
        <v>78</v>
      </c>
      <c r="I10" t="e">
        <f>INTERCEPT(Tables!$L$61:$L$65,Tables!$M$61:$M$65)</f>
        <v>#DIV/0!</v>
      </c>
      <c r="J10" t="e">
        <f>SUBSTITUTE(I10&amp;"",",",".")</f>
        <v>#DIV/0!</v>
      </c>
      <c r="R10" t="e">
        <f>REPLACE(R5,3,1,".")</f>
        <v>#DIV/0!</v>
      </c>
      <c r="T10" t="e">
        <f>REPLACE(T5,3,1,".")</f>
        <v>#DIV/0!</v>
      </c>
    </row>
    <row r="12" spans="8:20" x14ac:dyDescent="0.3">
      <c r="H12" s="16" t="s">
        <v>79</v>
      </c>
    </row>
    <row r="13" spans="8:20" x14ac:dyDescent="0.3">
      <c r="H13" t="s">
        <v>80</v>
      </c>
      <c r="I13" s="18" t="str">
        <f>IFERROR((I7-I2)/I2,"")</f>
        <v/>
      </c>
    </row>
    <row r="14" spans="8:20" x14ac:dyDescent="0.3">
      <c r="H14" t="s">
        <v>11</v>
      </c>
      <c r="I14" t="str">
        <f>IFERROR(I8-I3,"")</f>
        <v/>
      </c>
    </row>
    <row r="15" spans="8:20" x14ac:dyDescent="0.3">
      <c r="H15" t="s">
        <v>81</v>
      </c>
      <c r="I15" s="18" t="str">
        <f>IFERROR((I9-I4)/I4,"")</f>
        <v/>
      </c>
    </row>
    <row r="16" spans="8:20" x14ac:dyDescent="0.3">
      <c r="H16" t="s">
        <v>12</v>
      </c>
      <c r="I16" t="str">
        <f>IFERROR(I10-I5,"")</f>
        <v/>
      </c>
    </row>
    <row r="32" spans="2:2" x14ac:dyDescent="0.3">
      <c r="B32" s="16" t="s">
        <v>82</v>
      </c>
    </row>
    <row r="33" spans="2:2" x14ac:dyDescent="0.3">
      <c r="B33" s="19" t="str">
        <f>IFERROR("shield.sensors.setConversionParametersLinear(V_HIGH, "&amp;SUBSTITUTE(I2&amp;"",",",".")&amp;IF(I2=INT(I2),".0","")&amp;"F"&amp;", "&amp;SUBSTITUTE(I3&amp;"",",",".")&amp;IF(I3=INT(I3),".0","")&amp;"F"&amp;");","// V_HIGH: no data yet")</f>
        <v>// V_HIGH: no data yet</v>
      </c>
    </row>
    <row r="34" spans="2:2" x14ac:dyDescent="0.3">
      <c r="B34" s="19" t="str">
        <f>IFERROR("shield.sensors.setConversionParametersLinear(I_HIGH, "&amp;SUBSTITUTE(I4&amp;"",",",".")&amp;IF(I4=INT(I4),".0","")&amp;"F"&amp;", "&amp;SUBSTITUTE(I5&amp;"",",",".")&amp;IF(I5=INT(I5),".0","")&amp;"F"&amp;");","// I_HIGH: no data yet")</f>
        <v>// I_HIGH: no data yet</v>
      </c>
    </row>
    <row r="35" spans="2:2" x14ac:dyDescent="0.3">
      <c r="B35" s="19" t="str">
        <f>IFERROR("shield.sensors.setConversionParametersLinear(V1_LOW, "&amp;SUBSTITUTE(R2&amp;"",",",".")&amp;IF(R2=INT(R2),".0","")&amp;"F"&amp;", "&amp;SUBSTITUTE(R3&amp;"",",",".")&amp;IF(R3=INT(R3),".0","")&amp;"F"&amp;");","// V1_LOW: no data yet")</f>
        <v>// V1_LOW: no data yet</v>
      </c>
    </row>
    <row r="36" spans="2:2" x14ac:dyDescent="0.3">
      <c r="B36" s="19" t="str">
        <f>IFERROR("shield.sensors.setConversionParametersLinear(I1_LOW, "&amp;SUBSTITUTE(R4&amp;"",",",".")&amp;IF(R4=INT(R4),".0","")&amp;"F"&amp;", "&amp;SUBSTITUTE(R5&amp;"",",",".")&amp;IF(R5=INT(R5),".0","")&amp;"F"&amp;");","// I1_LOW: no data yet")</f>
        <v>// I1_LOW: no data yet</v>
      </c>
    </row>
    <row r="37" spans="2:2" x14ac:dyDescent="0.3">
      <c r="B37" s="19" t="str">
        <f>IFERROR("shield.sensors.setConversionParametersLinear(V2_LOW, "&amp;SUBSTITUTE(T2&amp;"",",",".")&amp;IF(T2=INT(T2),".0","")&amp;"F"&amp;", "&amp;SUBSTITUTE(T3&amp;"",",",".")&amp;IF(T3=INT(T3),".0","")&amp;"F"&amp;");","// V2_LOW: no data yet")</f>
        <v>// V2_LOW: no data yet</v>
      </c>
    </row>
    <row r="38" spans="2:2" x14ac:dyDescent="0.3">
      <c r="B38" s="19" t="str">
        <f>IFERROR("shield.sensors.setConversionParametersLinear(I2_LOW, "&amp;SUBSTITUTE(T4&amp;"",",",".")&amp;IF(T4=INT(T4),".0","")&amp;"F"&amp;", "&amp;SUBSTITUTE(T5&amp;"",",",".")&amp;IF(T5=INT(T5),".0","")&amp;"F"&amp;");","// I2_LOW: no data yet")</f>
        <v>// I2_LOW: no data yet</v>
      </c>
    </row>
    <row r="40" spans="2:2" x14ac:dyDescent="0.3">
      <c r="B40" s="16" t="s">
        <v>83</v>
      </c>
    </row>
    <row r="41" spans="2:2" x14ac:dyDescent="0.3">
      <c r="B41" s="19" t="str">
        <f>IFERROR("shield.sensors.setConversionParametersLinear(V_HIGH, "&amp;SUBSTITUTE(I7&amp;"",",",".")&amp;IF(I7=INT(I7),".0","")&amp;"F"&amp;", "&amp;SUBSTITUTE(I8&amp;"",",",".")&amp;IF(I8=INT(I8),".0","")&amp;"F"&amp;");","// V_HIGH: no data yet")</f>
        <v>// V_HIGH: no data yet</v>
      </c>
    </row>
    <row r="42" spans="2:2" x14ac:dyDescent="0.3">
      <c r="B42" s="19" t="str">
        <f>IFERROR("shield.sensors.setConversionParametersLinear(I_HIGH, "&amp;SUBSTITUTE(I9&amp;"",",",".")&amp;IF(I9=INT(I9),".0","")&amp;"F"&amp;", "&amp;SUBSTITUTE(I10&amp;"",",",".")&amp;IF(I10=INT(I10),".0","")&amp;"F"&amp;");","// I_HIGH: no data yet")</f>
        <v>// I_HIGH: no data yet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610C-884B-4C0A-BF4A-32DD4885022C}">
  <dimension ref="B2:T42"/>
  <sheetViews>
    <sheetView zoomScale="85" zoomScaleNormal="85" workbookViewId="0">
      <selection activeCell="F1" sqref="F1"/>
    </sheetView>
  </sheetViews>
  <sheetFormatPr baseColWidth="10" defaultRowHeight="14.4" x14ac:dyDescent="0.3"/>
  <sheetData>
    <row r="2" spans="8:20" x14ac:dyDescent="0.3">
      <c r="H2" t="s">
        <v>71</v>
      </c>
      <c r="I2" t="e">
        <f>SLOPE(Tables!$B$69:$B$73,Tables!$C$69:$C$73)</f>
        <v>#DIV/0!</v>
      </c>
      <c r="J2" t="e">
        <f>REPLACE(I2,2,1,".")</f>
        <v>#DIV/0!</v>
      </c>
      <c r="Q2" t="s">
        <v>13</v>
      </c>
      <c r="R2" t="e">
        <f>SLOPE(Tables!$F$69:$F$73,Tables!$G$69:$G$73)</f>
        <v>#DIV/0!</v>
      </c>
      <c r="S2" t="s">
        <v>17</v>
      </c>
      <c r="T2" t="e">
        <f>SLOPE(Tables!$N$69:$N$73,Tables!$O$69:$O$73)</f>
        <v>#DIV/0!</v>
      </c>
    </row>
    <row r="3" spans="8:20" x14ac:dyDescent="0.3">
      <c r="H3" t="s">
        <v>72</v>
      </c>
      <c r="I3" t="e">
        <f>INTERCEPT(Tables!$B$69:$B$73,Tables!$C$69:$C$73)</f>
        <v>#DIV/0!</v>
      </c>
      <c r="J3" t="e">
        <f>REPLACE(I3,2,1,".")</f>
        <v>#DIV/0!</v>
      </c>
      <c r="Q3" t="s">
        <v>14</v>
      </c>
      <c r="R3" t="e">
        <f>INTERCEPT(Tables!$F$69:$F$73,Tables!$G$69:$G$73)</f>
        <v>#DIV/0!</v>
      </c>
      <c r="S3" t="s">
        <v>18</v>
      </c>
      <c r="T3" t="e">
        <f>INTERCEPT(Tables!$N$69:$N$73,Tables!$O$69:$O$73)</f>
        <v>#DIV/0!</v>
      </c>
    </row>
    <row r="4" spans="8:20" x14ac:dyDescent="0.3">
      <c r="H4" t="s">
        <v>73</v>
      </c>
      <c r="I4" t="e">
        <f>SLOPE(Tables!$D$69:$D$73,Tables!$E$69:$E$73)</f>
        <v>#DIV/0!</v>
      </c>
      <c r="J4" t="e">
        <f>REPLACE(I4,2,1,".")</f>
        <v>#DIV/0!</v>
      </c>
      <c r="Q4" t="s">
        <v>15</v>
      </c>
      <c r="R4" t="e">
        <f>SLOPE(Tables!$H$69:$H$73,Tables!$I$69:$I$73)</f>
        <v>#DIV/0!</v>
      </c>
      <c r="S4" t="s">
        <v>19</v>
      </c>
      <c r="T4" t="e">
        <f>SLOPE(Tables!$P$69:$P$73,Tables!$Q$69:$Q$73)</f>
        <v>#DIV/0!</v>
      </c>
    </row>
    <row r="5" spans="8:20" x14ac:dyDescent="0.3">
      <c r="H5" t="s">
        <v>74</v>
      </c>
      <c r="I5" t="e">
        <f>INTERCEPT(Tables!$D$69:$D$73,Tables!$E$69:$E$73)</f>
        <v>#DIV/0!</v>
      </c>
      <c r="J5" t="e">
        <f>REPLACE(I5,3,1,".")</f>
        <v>#DIV/0!</v>
      </c>
      <c r="Q5" t="s">
        <v>16</v>
      </c>
      <c r="R5" t="e">
        <f>INTERCEPT(Tables!$H$69:$H$73,Tables!$I$69:$I$73)</f>
        <v>#DIV/0!</v>
      </c>
      <c r="S5" t="s">
        <v>20</v>
      </c>
      <c r="T5" t="e">
        <f>INTERCEPT(Tables!$P$69:$P$73,Tables!$Q$69:$Q$73)</f>
        <v>#DIV/0!</v>
      </c>
    </row>
    <row r="7" spans="8:20" x14ac:dyDescent="0.3">
      <c r="H7" t="s">
        <v>75</v>
      </c>
      <c r="I7" t="e">
        <f>SLOPE(Tables!$J$69:$J$73,Tables!$K$69:$K$73)</f>
        <v>#DIV/0!</v>
      </c>
      <c r="J7" t="e">
        <f>SUBSTITUTE(I7&amp;"",",",".")</f>
        <v>#DIV/0!</v>
      </c>
      <c r="R7" t="e">
        <f>REPLACE(R2,2,1,".")</f>
        <v>#DIV/0!</v>
      </c>
      <c r="T7" t="e">
        <f>REPLACE(T2,2,1,".")</f>
        <v>#DIV/0!</v>
      </c>
    </row>
    <row r="8" spans="8:20" x14ac:dyDescent="0.3">
      <c r="H8" t="s">
        <v>76</v>
      </c>
      <c r="I8" t="e">
        <f>INTERCEPT(Tables!$J$69:$J$73,Tables!$K$69:$K$73)</f>
        <v>#DIV/0!</v>
      </c>
      <c r="J8" t="e">
        <f>SUBSTITUTE(I8&amp;"",",",".")</f>
        <v>#DIV/0!</v>
      </c>
      <c r="R8" t="e">
        <f>REPLACE(R3,4,1,".")</f>
        <v>#DIV/0!</v>
      </c>
      <c r="T8" t="e">
        <f>REPLACE(T3,4,1,".")</f>
        <v>#DIV/0!</v>
      </c>
    </row>
    <row r="9" spans="8:20" x14ac:dyDescent="0.3">
      <c r="H9" t="s">
        <v>77</v>
      </c>
      <c r="I9" t="e">
        <f>SLOPE(Tables!$L$69:$L$73,Tables!$M$69:$M$73)</f>
        <v>#DIV/0!</v>
      </c>
      <c r="J9" t="e">
        <f>SUBSTITUTE(I9&amp;"",",",".")</f>
        <v>#DIV/0!</v>
      </c>
      <c r="R9" t="e">
        <f>REPLACE(R4,2,1,".")</f>
        <v>#DIV/0!</v>
      </c>
      <c r="T9" t="e">
        <f>REPLACE(T4,2,1,".")</f>
        <v>#DIV/0!</v>
      </c>
    </row>
    <row r="10" spans="8:20" x14ac:dyDescent="0.3">
      <c r="H10" t="s">
        <v>78</v>
      </c>
      <c r="I10" t="e">
        <f>INTERCEPT(Tables!$L$69:$L$73,Tables!$M$69:$M$73)</f>
        <v>#DIV/0!</v>
      </c>
      <c r="J10" t="e">
        <f>SUBSTITUTE(I10&amp;"",",",".")</f>
        <v>#DIV/0!</v>
      </c>
      <c r="R10" t="e">
        <f>REPLACE(R5,3,1,".")</f>
        <v>#DIV/0!</v>
      </c>
      <c r="T10" t="e">
        <f>REPLACE(T5,3,1,".")</f>
        <v>#DIV/0!</v>
      </c>
    </row>
    <row r="12" spans="8:20" x14ac:dyDescent="0.3">
      <c r="H12" s="16" t="s">
        <v>79</v>
      </c>
    </row>
    <row r="13" spans="8:20" x14ac:dyDescent="0.3">
      <c r="H13" t="s">
        <v>80</v>
      </c>
      <c r="I13" s="18" t="str">
        <f>IFERROR((I7-I2)/I2,"")</f>
        <v/>
      </c>
    </row>
    <row r="14" spans="8:20" x14ac:dyDescent="0.3">
      <c r="H14" t="s">
        <v>11</v>
      </c>
      <c r="I14" t="str">
        <f>IFERROR(I8-I3,"")</f>
        <v/>
      </c>
    </row>
    <row r="15" spans="8:20" x14ac:dyDescent="0.3">
      <c r="H15" t="s">
        <v>81</v>
      </c>
      <c r="I15" s="18" t="str">
        <f>IFERROR((I9-I4)/I4,"")</f>
        <v/>
      </c>
    </row>
    <row r="16" spans="8:20" x14ac:dyDescent="0.3">
      <c r="H16" t="s">
        <v>12</v>
      </c>
      <c r="I16" t="str">
        <f>IFERROR(I10-I5,"")</f>
        <v/>
      </c>
    </row>
    <row r="32" spans="2:2" x14ac:dyDescent="0.3">
      <c r="B32" s="16" t="s">
        <v>82</v>
      </c>
    </row>
    <row r="33" spans="2:2" x14ac:dyDescent="0.3">
      <c r="B33" s="19" t="str">
        <f>IFERROR("shield.sensors.setConversionParametersLinear(V_HIGH, "&amp;SUBSTITUTE(I2&amp;"",",",".")&amp;IF(I2=INT(I2),".0","")&amp;"F"&amp;", "&amp;SUBSTITUTE(I3&amp;"",",",".")&amp;IF(I3=INT(I3),".0","")&amp;"F"&amp;");","// V_HIGH: no data yet")</f>
        <v>// V_HIGH: no data yet</v>
      </c>
    </row>
    <row r="34" spans="2:2" x14ac:dyDescent="0.3">
      <c r="B34" s="19" t="str">
        <f>IFERROR("shield.sensors.setConversionParametersLinear(I_HIGH, "&amp;SUBSTITUTE(I4&amp;"",",",".")&amp;IF(I4=INT(I4),".0","")&amp;"F"&amp;", "&amp;SUBSTITUTE(I5&amp;"",",",".")&amp;IF(I5=INT(I5),".0","")&amp;"F"&amp;");","// I_HIGH: no data yet")</f>
        <v>// I_HIGH: no data yet</v>
      </c>
    </row>
    <row r="35" spans="2:2" x14ac:dyDescent="0.3">
      <c r="B35" s="19" t="str">
        <f>IFERROR("shield.sensors.setConversionParametersLinear(V1_LOW, "&amp;SUBSTITUTE(R2&amp;"",",",".")&amp;IF(R2=INT(R2),".0","")&amp;"F"&amp;", "&amp;SUBSTITUTE(R3&amp;"",",",".")&amp;IF(R3=INT(R3),".0","")&amp;"F"&amp;");","// V1_LOW: no data yet")</f>
        <v>// V1_LOW: no data yet</v>
      </c>
    </row>
    <row r="36" spans="2:2" x14ac:dyDescent="0.3">
      <c r="B36" s="19" t="str">
        <f>IFERROR("shield.sensors.setConversionParametersLinear(I1_LOW, "&amp;SUBSTITUTE(R4&amp;"",",",".")&amp;IF(R4=INT(R4),".0","")&amp;"F"&amp;", "&amp;SUBSTITUTE(R5&amp;"",",",".")&amp;IF(R5=INT(R5),".0","")&amp;"F"&amp;");","// I1_LOW: no data yet")</f>
        <v>// I1_LOW: no data yet</v>
      </c>
    </row>
    <row r="37" spans="2:2" x14ac:dyDescent="0.3">
      <c r="B37" s="19" t="str">
        <f>IFERROR("shield.sensors.setConversionParametersLinear(V2_LOW, "&amp;SUBSTITUTE(T2&amp;"",",",".")&amp;IF(T2=INT(T2),".0","")&amp;"F"&amp;", "&amp;SUBSTITUTE(T3&amp;"",",",".")&amp;IF(T3=INT(T3),".0","")&amp;"F"&amp;");","// V2_LOW: no data yet")</f>
        <v>// V2_LOW: no data yet</v>
      </c>
    </row>
    <row r="38" spans="2:2" x14ac:dyDescent="0.3">
      <c r="B38" s="19" t="str">
        <f>IFERROR("shield.sensors.setConversionParametersLinear(I2_LOW, "&amp;SUBSTITUTE(T4&amp;"",",",".")&amp;IF(T4=INT(T4),".0","")&amp;"F"&amp;", "&amp;SUBSTITUTE(T5&amp;"",",",".")&amp;IF(T5=INT(T5),".0","")&amp;"F"&amp;");","// I2_LOW: no data yet")</f>
        <v>// I2_LOW: no data yet</v>
      </c>
    </row>
    <row r="40" spans="2:2" x14ac:dyDescent="0.3">
      <c r="B40" s="16" t="s">
        <v>83</v>
      </c>
    </row>
    <row r="41" spans="2:2" x14ac:dyDescent="0.3">
      <c r="B41" s="19" t="str">
        <f>IFERROR("shield.sensors.setConversionParametersLinear(V_HIGH, "&amp;SUBSTITUTE(I7&amp;"",",",".")&amp;IF(I7=INT(I7),".0","")&amp;"F"&amp;", "&amp;SUBSTITUTE(I8&amp;"",",",".")&amp;IF(I8=INT(I8),".0","")&amp;"F"&amp;");","// V_HIGH: no data yet")</f>
        <v>// V_HIGH: no data yet</v>
      </c>
    </row>
    <row r="42" spans="2:2" x14ac:dyDescent="0.3">
      <c r="B42" s="19" t="str">
        <f>IFERROR("shield.sensors.setConversionParametersLinear(I_HIGH, "&amp;SUBSTITUTE(I9&amp;"",",",".")&amp;IF(I9=INT(I9),".0","")&amp;"F"&amp;", "&amp;SUBSTITUTE(I10&amp;"",",",".")&amp;IF(I10=INT(I10),".0","")&amp;"F"&amp;");","// I_HIGH: no data yet")</f>
        <v>// I_HIGH: no data yet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80FD-5826-443C-B875-5DA20346846D}">
  <dimension ref="B2:T42"/>
  <sheetViews>
    <sheetView zoomScale="85" zoomScaleNormal="85" workbookViewId="0">
      <selection activeCell="F1" sqref="F1"/>
    </sheetView>
  </sheetViews>
  <sheetFormatPr baseColWidth="10" defaultRowHeight="14.4" x14ac:dyDescent="0.3"/>
  <sheetData>
    <row r="2" spans="8:20" x14ac:dyDescent="0.3">
      <c r="H2" t="s">
        <v>71</v>
      </c>
      <c r="I2" t="e">
        <f>SLOPE(Tables!$B$77:$B$81,Tables!$C$77:$C$81)</f>
        <v>#DIV/0!</v>
      </c>
      <c r="J2" t="e">
        <f>REPLACE(I2,2,1,".")</f>
        <v>#DIV/0!</v>
      </c>
      <c r="Q2" t="s">
        <v>13</v>
      </c>
      <c r="R2" t="e">
        <f>SLOPE(Tables!$F$77:$F$81,Tables!$G$77:$G$81)</f>
        <v>#DIV/0!</v>
      </c>
      <c r="S2" t="s">
        <v>17</v>
      </c>
      <c r="T2" t="e">
        <f>SLOPE(Tables!$N$77:$N$81,Tables!$O$77:$O$81)</f>
        <v>#DIV/0!</v>
      </c>
    </row>
    <row r="3" spans="8:20" x14ac:dyDescent="0.3">
      <c r="H3" t="s">
        <v>72</v>
      </c>
      <c r="I3" t="e">
        <f>INTERCEPT(Tables!$B$77:$B$81,Tables!$C$77:$C$81)</f>
        <v>#DIV/0!</v>
      </c>
      <c r="J3" t="e">
        <f>REPLACE(I3,2,1,".")</f>
        <v>#DIV/0!</v>
      </c>
      <c r="Q3" t="s">
        <v>14</v>
      </c>
      <c r="R3" t="e">
        <f>INTERCEPT(Tables!$F$77:$F$81,Tables!$G$77:$G$81)</f>
        <v>#DIV/0!</v>
      </c>
      <c r="S3" t="s">
        <v>18</v>
      </c>
      <c r="T3" t="e">
        <f>INTERCEPT(Tables!$N$77:$N$81,Tables!$O$77:$O$81)</f>
        <v>#DIV/0!</v>
      </c>
    </row>
    <row r="4" spans="8:20" x14ac:dyDescent="0.3">
      <c r="H4" t="s">
        <v>73</v>
      </c>
      <c r="I4" t="e">
        <f>SLOPE(Tables!$D$77:$D$81,Tables!$E$77:$E$81)</f>
        <v>#DIV/0!</v>
      </c>
      <c r="J4" t="e">
        <f>REPLACE(I4,2,1,".")</f>
        <v>#DIV/0!</v>
      </c>
      <c r="Q4" t="s">
        <v>15</v>
      </c>
      <c r="R4" t="e">
        <f>SLOPE(Tables!$H$77:$H$81,Tables!$I$77:$I$81)</f>
        <v>#DIV/0!</v>
      </c>
      <c r="S4" t="s">
        <v>19</v>
      </c>
      <c r="T4" t="e">
        <f>SLOPE(Tables!$P$77:$P$81,Tables!$Q$77:$Q$81)</f>
        <v>#DIV/0!</v>
      </c>
    </row>
    <row r="5" spans="8:20" x14ac:dyDescent="0.3">
      <c r="H5" t="s">
        <v>74</v>
      </c>
      <c r="I5" t="e">
        <f>INTERCEPT(Tables!$D$77:$D$81,Tables!$E$77:$E$81)</f>
        <v>#DIV/0!</v>
      </c>
      <c r="J5" t="e">
        <f>REPLACE(I5,3,1,".")</f>
        <v>#DIV/0!</v>
      </c>
      <c r="Q5" t="s">
        <v>16</v>
      </c>
      <c r="R5" t="e">
        <f>INTERCEPT(Tables!$H$77:$H$81,Tables!$I$77:$I$81)</f>
        <v>#DIV/0!</v>
      </c>
      <c r="S5" t="s">
        <v>20</v>
      </c>
      <c r="T5" t="e">
        <f>INTERCEPT(Tables!$P$77:$P$81,Tables!$Q$77:$Q$81)</f>
        <v>#DIV/0!</v>
      </c>
    </row>
    <row r="7" spans="8:20" x14ac:dyDescent="0.3">
      <c r="H7" t="s">
        <v>75</v>
      </c>
      <c r="I7" t="e">
        <f>SLOPE(Tables!$J$77:$J$81,Tables!$K$77:$K$81)</f>
        <v>#DIV/0!</v>
      </c>
      <c r="J7" t="e">
        <f>SUBSTITUTE(I7&amp;"",",",".")</f>
        <v>#DIV/0!</v>
      </c>
      <c r="R7" t="e">
        <f>REPLACE(R2,2,1,".")</f>
        <v>#DIV/0!</v>
      </c>
      <c r="T7" t="e">
        <f>REPLACE(T2,2,1,".")</f>
        <v>#DIV/0!</v>
      </c>
    </row>
    <row r="8" spans="8:20" x14ac:dyDescent="0.3">
      <c r="H8" t="s">
        <v>76</v>
      </c>
      <c r="I8" t="e">
        <f>INTERCEPT(Tables!$J$77:$J$81,Tables!$K$77:$K$81)</f>
        <v>#DIV/0!</v>
      </c>
      <c r="J8" t="e">
        <f>SUBSTITUTE(I8&amp;"",",",".")</f>
        <v>#DIV/0!</v>
      </c>
      <c r="R8" t="e">
        <f>REPLACE(R3,4,1,".")</f>
        <v>#DIV/0!</v>
      </c>
      <c r="T8" t="e">
        <f>REPLACE(T3,4,1,".")</f>
        <v>#DIV/0!</v>
      </c>
    </row>
    <row r="9" spans="8:20" x14ac:dyDescent="0.3">
      <c r="H9" t="s">
        <v>77</v>
      </c>
      <c r="I9" t="e">
        <f>SLOPE(Tables!$L$77:$L$81,Tables!$M$77:$M$81)</f>
        <v>#DIV/0!</v>
      </c>
      <c r="J9" t="e">
        <f>SUBSTITUTE(I9&amp;"",",",".")</f>
        <v>#DIV/0!</v>
      </c>
      <c r="R9" t="e">
        <f>REPLACE(R4,2,1,".")</f>
        <v>#DIV/0!</v>
      </c>
      <c r="T9" t="e">
        <f>REPLACE(T4,2,1,".")</f>
        <v>#DIV/0!</v>
      </c>
    </row>
    <row r="10" spans="8:20" x14ac:dyDescent="0.3">
      <c r="H10" t="s">
        <v>78</v>
      </c>
      <c r="I10" t="e">
        <f>INTERCEPT(Tables!$L$77:$L$81,Tables!$M$77:$M$81)</f>
        <v>#DIV/0!</v>
      </c>
      <c r="J10" t="e">
        <f>SUBSTITUTE(I10&amp;"",",",".")</f>
        <v>#DIV/0!</v>
      </c>
      <c r="R10" t="e">
        <f>REPLACE(R5,3,1,".")</f>
        <v>#DIV/0!</v>
      </c>
      <c r="T10" t="e">
        <f>REPLACE(T5,3,1,".")</f>
        <v>#DIV/0!</v>
      </c>
    </row>
    <row r="12" spans="8:20" x14ac:dyDescent="0.3">
      <c r="H12" s="16" t="s">
        <v>79</v>
      </c>
    </row>
    <row r="13" spans="8:20" x14ac:dyDescent="0.3">
      <c r="H13" t="s">
        <v>80</v>
      </c>
      <c r="I13" s="18" t="str">
        <f>IFERROR((I7-I2)/I2,"")</f>
        <v/>
      </c>
    </row>
    <row r="14" spans="8:20" x14ac:dyDescent="0.3">
      <c r="H14" t="s">
        <v>11</v>
      </c>
      <c r="I14" t="str">
        <f>IFERROR(I8-I3,"")</f>
        <v/>
      </c>
    </row>
    <row r="15" spans="8:20" x14ac:dyDescent="0.3">
      <c r="H15" t="s">
        <v>81</v>
      </c>
      <c r="I15" s="18" t="str">
        <f>IFERROR((I9-I4)/I4,"")</f>
        <v/>
      </c>
    </row>
    <row r="16" spans="8:20" x14ac:dyDescent="0.3">
      <c r="H16" t="s">
        <v>12</v>
      </c>
      <c r="I16" t="str">
        <f>IFERROR(I10-I5,"")</f>
        <v/>
      </c>
    </row>
    <row r="32" spans="2:2" x14ac:dyDescent="0.3">
      <c r="B32" s="16" t="s">
        <v>82</v>
      </c>
    </row>
    <row r="33" spans="2:2" x14ac:dyDescent="0.3">
      <c r="B33" s="19" t="str">
        <f>IFERROR("shield.sensors.setConversionParametersLinear(V_HIGH, "&amp;SUBSTITUTE(I2&amp;"",",",".")&amp;IF(I2=INT(I2),".0","")&amp;"F"&amp;", "&amp;SUBSTITUTE(I3&amp;"",",",".")&amp;IF(I3=INT(I3),".0","")&amp;"F"&amp;");","// V_HIGH: no data yet")</f>
        <v>// V_HIGH: no data yet</v>
      </c>
    </row>
    <row r="34" spans="2:2" x14ac:dyDescent="0.3">
      <c r="B34" s="19" t="str">
        <f>IFERROR("shield.sensors.setConversionParametersLinear(I_HIGH, "&amp;SUBSTITUTE(I4&amp;"",",",".")&amp;IF(I4=INT(I4),".0","")&amp;"F"&amp;", "&amp;SUBSTITUTE(I5&amp;"",",",".")&amp;IF(I5=INT(I5),".0","")&amp;"F"&amp;");","// I_HIGH: no data yet")</f>
        <v>// I_HIGH: no data yet</v>
      </c>
    </row>
    <row r="35" spans="2:2" x14ac:dyDescent="0.3">
      <c r="B35" s="19" t="str">
        <f>IFERROR("shield.sensors.setConversionParametersLinear(V1_LOW, "&amp;SUBSTITUTE(R2&amp;"",",",".")&amp;IF(R2=INT(R2),".0","")&amp;"F"&amp;", "&amp;SUBSTITUTE(R3&amp;"",",",".")&amp;IF(R3=INT(R3),".0","")&amp;"F"&amp;");","// V1_LOW: no data yet")</f>
        <v>// V1_LOW: no data yet</v>
      </c>
    </row>
    <row r="36" spans="2:2" x14ac:dyDescent="0.3">
      <c r="B36" s="19" t="str">
        <f>IFERROR("shield.sensors.setConversionParametersLinear(I1_LOW, "&amp;SUBSTITUTE(R4&amp;"",",",".")&amp;IF(R4=INT(R4),".0","")&amp;"F"&amp;", "&amp;SUBSTITUTE(R5&amp;"",",",".")&amp;IF(R5=INT(R5),".0","")&amp;"F"&amp;");","// I1_LOW: no data yet")</f>
        <v>// I1_LOW: no data yet</v>
      </c>
    </row>
    <row r="37" spans="2:2" x14ac:dyDescent="0.3">
      <c r="B37" s="19" t="str">
        <f>IFERROR("shield.sensors.setConversionParametersLinear(V2_LOW, "&amp;SUBSTITUTE(T2&amp;"",",",".")&amp;IF(T2=INT(T2),".0","")&amp;"F"&amp;", "&amp;SUBSTITUTE(T3&amp;"",",",".")&amp;IF(T3=INT(T3),".0","")&amp;"F"&amp;");","// V2_LOW: no data yet")</f>
        <v>// V2_LOW: no data yet</v>
      </c>
    </row>
    <row r="38" spans="2:2" x14ac:dyDescent="0.3">
      <c r="B38" s="19" t="str">
        <f>IFERROR("shield.sensors.setConversionParametersLinear(I2_LOW, "&amp;SUBSTITUTE(T4&amp;"",",",".")&amp;IF(T4=INT(T4),".0","")&amp;"F"&amp;", "&amp;SUBSTITUTE(T5&amp;"",",",".")&amp;IF(T5=INT(T5),".0","")&amp;"F"&amp;");","// I2_LOW: no data yet")</f>
        <v>// I2_LOW: no data yet</v>
      </c>
    </row>
    <row r="40" spans="2:2" x14ac:dyDescent="0.3">
      <c r="B40" s="16" t="s">
        <v>83</v>
      </c>
    </row>
    <row r="41" spans="2:2" x14ac:dyDescent="0.3">
      <c r="B41" s="19" t="str">
        <f>IFERROR("shield.sensors.setConversionParametersLinear(V_HIGH, "&amp;SUBSTITUTE(I7&amp;"",",",".")&amp;IF(I7=INT(I7),".0","")&amp;"F"&amp;", "&amp;SUBSTITUTE(I8&amp;"",",",".")&amp;IF(I8=INT(I8),".0","")&amp;"F"&amp;");","// V_HIGH: no data yet")</f>
        <v>// V_HIGH: no data yet</v>
      </c>
    </row>
    <row r="42" spans="2:2" x14ac:dyDescent="0.3">
      <c r="B42" s="19" t="str">
        <f>IFERROR("shield.sensors.setConversionParametersLinear(I_HIGH, "&amp;SUBSTITUTE(I9&amp;"",",",".")&amp;IF(I9=INT(I9),".0","")&amp;"F"&amp;", "&amp;SUBSTITUTE(I10&amp;"",",",".")&amp;IF(I10=INT(I10),".0","")&amp;"F"&amp;");","// I_HIGH: no data yet")</f>
        <v>// I_HIGH: no data yet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09D5-13FC-4C90-80FC-C9F13E86512C}">
  <dimension ref="B2:T42"/>
  <sheetViews>
    <sheetView tabSelected="1" zoomScale="85" zoomScaleNormal="85" workbookViewId="0">
      <selection activeCell="Q16" sqref="Q16"/>
    </sheetView>
  </sheetViews>
  <sheetFormatPr baseColWidth="10" defaultRowHeight="14.4" x14ac:dyDescent="0.3"/>
  <sheetData>
    <row r="2" spans="8:20" x14ac:dyDescent="0.3">
      <c r="H2" t="s">
        <v>71</v>
      </c>
      <c r="I2" t="e">
        <f>SLOPE(Tables!$B$85:$B$89,Tables!$C$85:$C$89)</f>
        <v>#DIV/0!</v>
      </c>
      <c r="J2" t="e">
        <f>REPLACE(I2,2,1,".")</f>
        <v>#DIV/0!</v>
      </c>
      <c r="Q2" t="s">
        <v>13</v>
      </c>
      <c r="R2" t="e">
        <f>SLOPE(Tables!$F$85:$F$89,Tables!$G$85:$G$89)</f>
        <v>#DIV/0!</v>
      </c>
      <c r="S2" t="s">
        <v>17</v>
      </c>
      <c r="T2" t="e">
        <f>SLOPE(Tables!$N$85:$N$89,Tables!$O$85:$O$89)</f>
        <v>#DIV/0!</v>
      </c>
    </row>
    <row r="3" spans="8:20" x14ac:dyDescent="0.3">
      <c r="H3" t="s">
        <v>72</v>
      </c>
      <c r="I3" t="e">
        <f>INTERCEPT(Tables!$B$85:$B$89,Tables!$C$85:$C$89)</f>
        <v>#DIV/0!</v>
      </c>
      <c r="J3" t="e">
        <f>REPLACE(I3,2,1,".")</f>
        <v>#DIV/0!</v>
      </c>
      <c r="Q3" t="s">
        <v>14</v>
      </c>
      <c r="R3" t="e">
        <f>INTERCEPT(Tables!$F$85:$F$89,Tables!$G$85:$G$89)</f>
        <v>#DIV/0!</v>
      </c>
      <c r="S3" t="s">
        <v>18</v>
      </c>
      <c r="T3" t="e">
        <f>INTERCEPT(Tables!$N$85:$N$89,Tables!$O$85:$O$89)</f>
        <v>#DIV/0!</v>
      </c>
    </row>
    <row r="4" spans="8:20" x14ac:dyDescent="0.3">
      <c r="H4" t="s">
        <v>73</v>
      </c>
      <c r="I4" t="e">
        <f>SLOPE(Tables!$D$85:$D$89,Tables!$E$85:$E$89)</f>
        <v>#DIV/0!</v>
      </c>
      <c r="J4" t="e">
        <f>REPLACE(I4,2,1,".")</f>
        <v>#DIV/0!</v>
      </c>
      <c r="Q4" t="s">
        <v>15</v>
      </c>
      <c r="R4" t="e">
        <f>SLOPE(Tables!$H$85:$H$89,Tables!$I$85:$I$89)</f>
        <v>#DIV/0!</v>
      </c>
      <c r="S4" t="s">
        <v>19</v>
      </c>
      <c r="T4" t="e">
        <f>SLOPE(Tables!$P$85:$P$89,Tables!$Q$85:$Q$89)</f>
        <v>#DIV/0!</v>
      </c>
    </row>
    <row r="5" spans="8:20" x14ac:dyDescent="0.3">
      <c r="H5" t="s">
        <v>74</v>
      </c>
      <c r="I5" t="e">
        <f>INTERCEPT(Tables!$D$85:$D$89,Tables!$E$85:$E$89)</f>
        <v>#DIV/0!</v>
      </c>
      <c r="J5" t="e">
        <f>REPLACE(I5,3,1,".")</f>
        <v>#DIV/0!</v>
      </c>
      <c r="Q5" t="s">
        <v>16</v>
      </c>
      <c r="R5" t="e">
        <f>INTERCEPT(Tables!$H$85:$H$89,Tables!$I$85:$I$89)</f>
        <v>#DIV/0!</v>
      </c>
      <c r="S5" t="s">
        <v>20</v>
      </c>
      <c r="T5" t="e">
        <f>INTERCEPT(Tables!$P$85:$P$89,Tables!$Q$85:$Q$89)</f>
        <v>#DIV/0!</v>
      </c>
    </row>
    <row r="7" spans="8:20" x14ac:dyDescent="0.3">
      <c r="H7" t="s">
        <v>75</v>
      </c>
      <c r="I7" t="e">
        <f>SLOPE(Tables!$J$85:$J$89,Tables!$K$85:$K$89)</f>
        <v>#DIV/0!</v>
      </c>
      <c r="J7" t="e">
        <f>SUBSTITUTE(I7&amp;"",",",".")</f>
        <v>#DIV/0!</v>
      </c>
      <c r="R7" t="e">
        <f>REPLACE(R2,2,1,".")</f>
        <v>#DIV/0!</v>
      </c>
      <c r="T7" t="e">
        <f>REPLACE(T2,2,1,".")</f>
        <v>#DIV/0!</v>
      </c>
    </row>
    <row r="8" spans="8:20" x14ac:dyDescent="0.3">
      <c r="H8" t="s">
        <v>76</v>
      </c>
      <c r="I8" t="e">
        <f>INTERCEPT(Tables!$J$85:$J$89,Tables!$K$85:$K$89)</f>
        <v>#DIV/0!</v>
      </c>
      <c r="J8" t="e">
        <f>SUBSTITUTE(I8&amp;"",",",".")</f>
        <v>#DIV/0!</v>
      </c>
      <c r="R8" t="e">
        <f>REPLACE(R3,4,1,".")</f>
        <v>#DIV/0!</v>
      </c>
      <c r="T8" t="e">
        <f>REPLACE(T3,4,1,".")</f>
        <v>#DIV/0!</v>
      </c>
    </row>
    <row r="9" spans="8:20" x14ac:dyDescent="0.3">
      <c r="H9" t="s">
        <v>77</v>
      </c>
      <c r="I9" t="e">
        <f>SLOPE(Tables!$L$85:$L$89,Tables!$M$85:$M$89)</f>
        <v>#DIV/0!</v>
      </c>
      <c r="J9" t="e">
        <f>SUBSTITUTE(I9&amp;"",",",".")</f>
        <v>#DIV/0!</v>
      </c>
      <c r="R9" t="e">
        <f>REPLACE(R4,2,1,".")</f>
        <v>#DIV/0!</v>
      </c>
      <c r="T9" t="e">
        <f>REPLACE(T4,2,1,".")</f>
        <v>#DIV/0!</v>
      </c>
    </row>
    <row r="10" spans="8:20" x14ac:dyDescent="0.3">
      <c r="H10" t="s">
        <v>78</v>
      </c>
      <c r="I10" t="e">
        <f>INTERCEPT(Tables!$L$85:$L$89,Tables!$M$85:$M$89)</f>
        <v>#DIV/0!</v>
      </c>
      <c r="J10" t="e">
        <f>SUBSTITUTE(I10&amp;"",",",".")</f>
        <v>#DIV/0!</v>
      </c>
      <c r="R10" t="e">
        <f>REPLACE(R5,3,1,".")</f>
        <v>#DIV/0!</v>
      </c>
      <c r="T10" t="e">
        <f>REPLACE(T5,3,1,".")</f>
        <v>#DIV/0!</v>
      </c>
    </row>
    <row r="12" spans="8:20" x14ac:dyDescent="0.3">
      <c r="H12" s="16" t="s">
        <v>79</v>
      </c>
    </row>
    <row r="13" spans="8:20" x14ac:dyDescent="0.3">
      <c r="H13" t="s">
        <v>80</v>
      </c>
      <c r="I13" s="18" t="str">
        <f>IFERROR((I7-I2)/I2,"")</f>
        <v/>
      </c>
    </row>
    <row r="14" spans="8:20" x14ac:dyDescent="0.3">
      <c r="H14" t="s">
        <v>11</v>
      </c>
      <c r="I14" t="str">
        <f>IFERROR(I8-I3,"")</f>
        <v/>
      </c>
    </row>
    <row r="15" spans="8:20" x14ac:dyDescent="0.3">
      <c r="H15" t="s">
        <v>81</v>
      </c>
      <c r="I15" s="18" t="str">
        <f>IFERROR((I9-I4)/I4,"")</f>
        <v/>
      </c>
    </row>
    <row r="16" spans="8:20" x14ac:dyDescent="0.3">
      <c r="H16" t="s">
        <v>12</v>
      </c>
      <c r="I16" t="str">
        <f>IFERROR(I10-I5,"")</f>
        <v/>
      </c>
    </row>
    <row r="32" spans="2:2" x14ac:dyDescent="0.3">
      <c r="B32" s="16" t="s">
        <v>82</v>
      </c>
    </row>
    <row r="33" spans="2:2" x14ac:dyDescent="0.3">
      <c r="B33" s="19" t="str">
        <f>IFERROR("shield.sensors.setConversionParametersLinear(V_HIGH, "&amp;SUBSTITUTE(I2&amp;"",",",".")&amp;IF(I2=INT(I2),".0","")&amp;"F"&amp;", "&amp;SUBSTITUTE(I3&amp;"",",",".")&amp;IF(I3=INT(I3),".0","")&amp;"F"&amp;");","// V_HIGH: no data yet")</f>
        <v>// V_HIGH: no data yet</v>
      </c>
    </row>
    <row r="34" spans="2:2" x14ac:dyDescent="0.3">
      <c r="B34" s="19" t="str">
        <f>IFERROR("shield.sensors.setConversionParametersLinear(I_HIGH, "&amp;SUBSTITUTE(I4&amp;"",",",".")&amp;IF(I4=INT(I4),".0","")&amp;"F"&amp;", "&amp;SUBSTITUTE(I5&amp;"",",",".")&amp;IF(I5=INT(I5),".0","")&amp;"F"&amp;");","// I_HIGH: no data yet")</f>
        <v>// I_HIGH: no data yet</v>
      </c>
    </row>
    <row r="35" spans="2:2" x14ac:dyDescent="0.3">
      <c r="B35" s="19" t="str">
        <f>IFERROR("shield.sensors.setConversionParametersLinear(V1_LOW, "&amp;SUBSTITUTE(R2&amp;"",",",".")&amp;IF(R2=INT(R2),".0","")&amp;"F"&amp;", "&amp;SUBSTITUTE(R3&amp;"",",",".")&amp;IF(R3=INT(R3),".0","")&amp;"F"&amp;");","// V1_LOW: no data yet")</f>
        <v>// V1_LOW: no data yet</v>
      </c>
    </row>
    <row r="36" spans="2:2" x14ac:dyDescent="0.3">
      <c r="B36" s="19" t="str">
        <f>IFERROR("shield.sensors.setConversionParametersLinear(I1_LOW, "&amp;SUBSTITUTE(R4&amp;"",",",".")&amp;IF(R4=INT(R4),".0","")&amp;"F"&amp;", "&amp;SUBSTITUTE(R5&amp;"",",",".")&amp;IF(R5=INT(R5),".0","")&amp;"F"&amp;");","// I1_LOW: no data yet")</f>
        <v>// I1_LOW: no data yet</v>
      </c>
    </row>
    <row r="37" spans="2:2" x14ac:dyDescent="0.3">
      <c r="B37" s="19" t="str">
        <f>IFERROR("shield.sensors.setConversionParametersLinear(V2_LOW, "&amp;SUBSTITUTE(T2&amp;"",",",".")&amp;IF(T2=INT(T2),".0","")&amp;"F"&amp;", "&amp;SUBSTITUTE(T3&amp;"",",",".")&amp;IF(T3=INT(T3),".0","")&amp;"F"&amp;");","// V2_LOW: no data yet")</f>
        <v>// V2_LOW: no data yet</v>
      </c>
    </row>
    <row r="38" spans="2:2" x14ac:dyDescent="0.3">
      <c r="B38" s="19" t="str">
        <f>IFERROR("shield.sensors.setConversionParametersLinear(I2_LOW, "&amp;SUBSTITUTE(T4&amp;"",",",".")&amp;IF(T4=INT(T4),".0","")&amp;"F"&amp;", "&amp;SUBSTITUTE(T5&amp;"",",",".")&amp;IF(T5=INT(T5),".0","")&amp;"F"&amp;");","// I2_LOW: no data yet")</f>
        <v>// I2_LOW: no data yet</v>
      </c>
    </row>
    <row r="40" spans="2:2" x14ac:dyDescent="0.3">
      <c r="B40" s="16" t="s">
        <v>83</v>
      </c>
    </row>
    <row r="41" spans="2:2" x14ac:dyDescent="0.3">
      <c r="B41" s="19" t="str">
        <f>IFERROR("shield.sensors.setConversionParametersLinear(V_HIGH, "&amp;SUBSTITUTE(I7&amp;"",",",".")&amp;IF(I7=INT(I7),".0","")&amp;"F"&amp;", "&amp;SUBSTITUTE(I8&amp;"",",",".")&amp;IF(I8=INT(I8),".0","")&amp;"F"&amp;");","// V_HIGH: no data yet")</f>
        <v>// V_HIGH: no data yet</v>
      </c>
    </row>
    <row r="42" spans="2:2" x14ac:dyDescent="0.3">
      <c r="B42" s="19" t="str">
        <f>IFERROR("shield.sensors.setConversionParametersLinear(I_HIGH, "&amp;SUBSTITUTE(I9&amp;"",",",".")&amp;IF(I9=INT(I9),".0","")&amp;"F"&amp;", "&amp;SUBSTITUTE(I10&amp;"",",",".")&amp;IF(I10=INT(I10),".0","")&amp;"F"&amp;");","// I_HIGH: no data yet")</f>
        <v>// I_HIGH: no data yet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Tables</vt:lpstr>
      <vt:lpstr>Mesures Low1</vt:lpstr>
      <vt:lpstr>Mesures Low2</vt:lpstr>
      <vt:lpstr>Curves Board 1</vt:lpstr>
      <vt:lpstr>Curves Board 2</vt:lpstr>
      <vt:lpstr>Curves Board 3</vt:lpstr>
      <vt:lpstr>Curves Board 4</vt:lpstr>
      <vt:lpstr>Curves Board 5</vt:lpstr>
      <vt:lpstr>Curves Board 6</vt:lpstr>
      <vt:lpstr>Curves Board 7</vt:lpstr>
      <vt:lpstr>Curves Board 8</vt:lpstr>
      <vt:lpstr>Curves Board 9</vt:lpstr>
      <vt:lpstr>Curves Board 10</vt:lpstr>
      <vt:lpstr>Curves Board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Luiza Haas Bezerra</dc:creator>
  <cp:lastModifiedBy>Ana Luiza Haas Bezerra</cp:lastModifiedBy>
  <dcterms:created xsi:type="dcterms:W3CDTF">2025-05-16T11:46:30Z</dcterms:created>
  <dcterms:modified xsi:type="dcterms:W3CDTF">2026-10-09T09:31:11Z</dcterms:modified>
</cp:coreProperties>
</file>